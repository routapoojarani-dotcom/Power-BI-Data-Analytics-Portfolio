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dan Kazimzade\Desktop\mijn\"/>
    </mc:Choice>
  </mc:AlternateContent>
  <xr:revisionPtr revIDLastSave="0" documentId="13_ncr:1_{9D1E6238-A29C-4A70-8C67-94D4FBC50954}" xr6:coauthVersionLast="47" xr6:coauthVersionMax="47" xr10:uidLastSave="{00000000-0000-0000-0000-000000000000}"/>
  <bookViews>
    <workbookView xWindow="-120" yWindow="-120" windowWidth="38640" windowHeight="21240" xr2:uid="{4CA8BEE7-B496-4753-AF1E-A462D0582CDD}"/>
  </bookViews>
  <sheets>
    <sheet name="RMP" sheetId="1" r:id="rId1"/>
    <sheet name="Monthly Cost Report" sheetId="6" r:id="rId2"/>
    <sheet name="Employee Hours Variance" sheetId="9" r:id="rId3"/>
    <sheet name="Calendar" sheetId="3" state="hidden" r:id="rId4"/>
  </sheets>
  <definedNames>
    <definedName name="_xlnm._FilterDatabase" localSheetId="2" hidden="1">'Employee Hours Variance'!$B$4:$I$4</definedName>
    <definedName name="_xlnm._FilterDatabase" localSheetId="0" hidden="1">RMP!$A$10:$CE$50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3" i="1" l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AS42" i="1"/>
  <c r="BB42" i="1" s="1"/>
  <c r="AS43" i="1"/>
  <c r="AY43" i="1" s="1"/>
  <c r="AS44" i="1"/>
  <c r="AV44" i="1" s="1"/>
  <c r="AS45" i="1"/>
  <c r="BA45" i="1" s="1"/>
  <c r="AS46" i="1"/>
  <c r="AS47" i="1"/>
  <c r="AX43" i="1" l="1"/>
  <c r="BV17" i="1"/>
  <c r="BV19" i="1"/>
  <c r="BV16" i="1"/>
  <c r="BV18" i="1"/>
  <c r="BV15" i="1"/>
  <c r="BV14" i="1"/>
  <c r="BV32" i="1"/>
  <c r="BH45" i="1"/>
  <c r="BV29" i="1"/>
  <c r="AZ45" i="1"/>
  <c r="BV34" i="1"/>
  <c r="AU44" i="1"/>
  <c r="BI42" i="1"/>
  <c r="BV31" i="1"/>
  <c r="BV28" i="1"/>
  <c r="BA42" i="1"/>
  <c r="BF43" i="1"/>
  <c r="BV30" i="1"/>
  <c r="BV33" i="1"/>
  <c r="BC44" i="1"/>
  <c r="BG45" i="1"/>
  <c r="AY45" i="1"/>
  <c r="BB44" i="1"/>
  <c r="BE43" i="1"/>
  <c r="AW43" i="1"/>
  <c r="BH42" i="1"/>
  <c r="AZ42" i="1"/>
  <c r="BF45" i="1"/>
  <c r="AX45" i="1"/>
  <c r="BI44" i="1"/>
  <c r="BA44" i="1"/>
  <c r="BD43" i="1"/>
  <c r="AV43" i="1"/>
  <c r="BG42" i="1"/>
  <c r="AY42" i="1"/>
  <c r="BE45" i="1"/>
  <c r="AW45" i="1"/>
  <c r="BH44" i="1"/>
  <c r="AZ44" i="1"/>
  <c r="BC43" i="1"/>
  <c r="AU43" i="1"/>
  <c r="BF42" i="1"/>
  <c r="AX42" i="1"/>
  <c r="BD45" i="1"/>
  <c r="AV45" i="1"/>
  <c r="BG44" i="1"/>
  <c r="AY44" i="1"/>
  <c r="BB43" i="1"/>
  <c r="BE42" i="1"/>
  <c r="AW42" i="1"/>
  <c r="BC45" i="1"/>
  <c r="AU45" i="1"/>
  <c r="BF44" i="1"/>
  <c r="AX44" i="1"/>
  <c r="BI43" i="1"/>
  <c r="BA43" i="1"/>
  <c r="BD42" i="1"/>
  <c r="AV42" i="1"/>
  <c r="BB45" i="1"/>
  <c r="BE44" i="1"/>
  <c r="AW44" i="1"/>
  <c r="BH43" i="1"/>
  <c r="AZ43" i="1"/>
  <c r="BC42" i="1"/>
  <c r="AU42" i="1"/>
  <c r="BI45" i="1"/>
  <c r="BD44" i="1"/>
  <c r="BG43" i="1"/>
  <c r="G8" i="1"/>
  <c r="AJ8" i="1"/>
  <c r="AK8" i="1"/>
  <c r="AL8" i="1"/>
  <c r="AM8" i="1"/>
  <c r="AN8" i="1"/>
  <c r="AO8" i="1"/>
  <c r="AP8" i="1"/>
  <c r="AH44" i="1"/>
  <c r="AH42" i="1"/>
  <c r="AH43" i="1"/>
  <c r="AH45" i="1"/>
  <c r="AH46" i="1"/>
  <c r="AH47" i="1"/>
  <c r="AH28" i="1"/>
  <c r="AH29" i="1"/>
  <c r="AH30" i="1"/>
  <c r="AH31" i="1"/>
  <c r="AH32" i="1"/>
  <c r="AH14" i="1"/>
  <c r="AH15" i="1"/>
  <c r="AH16" i="1"/>
  <c r="AH17" i="1"/>
  <c r="AH18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V44" i="1" l="1"/>
  <c r="BV42" i="1"/>
  <c r="BV45" i="1"/>
  <c r="BV43" i="1"/>
  <c r="BY8" i="1"/>
  <c r="BZ8" i="1"/>
  <c r="CA8" i="1"/>
  <c r="CB8" i="1"/>
  <c r="CC8" i="1"/>
  <c r="CD8" i="1"/>
  <c r="BX8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F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J39" i="1"/>
  <c r="BK39" i="1"/>
  <c r="BL39" i="1"/>
  <c r="BM39" i="1"/>
  <c r="BN39" i="1"/>
  <c r="BO39" i="1"/>
  <c r="BP39" i="1"/>
  <c r="BQ39" i="1"/>
  <c r="BQ51" i="1" s="1"/>
  <c r="BR39" i="1"/>
  <c r="BS39" i="1"/>
  <c r="BT39" i="1"/>
  <c r="BU39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AU11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AU25" i="1"/>
  <c r="AV10" i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U8" i="1" s="1"/>
  <c r="AU8" i="1"/>
  <c r="AS39" i="1"/>
  <c r="AY39" i="1" s="1"/>
  <c r="AS40" i="1"/>
  <c r="AU40" i="1" s="1"/>
  <c r="AS41" i="1"/>
  <c r="AZ41" i="1" s="1"/>
  <c r="AW46" i="1"/>
  <c r="BB47" i="1"/>
  <c r="AS48" i="1"/>
  <c r="AY48" i="1" s="1"/>
  <c r="AS49" i="1"/>
  <c r="AV49" i="1" s="1"/>
  <c r="AS50" i="1"/>
  <c r="BA50" i="1" s="1"/>
  <c r="AH26" i="1"/>
  <c r="AH27" i="1"/>
  <c r="AH33" i="1"/>
  <c r="AH34" i="1"/>
  <c r="AH35" i="1"/>
  <c r="AH36" i="1"/>
  <c r="AH39" i="1"/>
  <c r="AH40" i="1"/>
  <c r="AH41" i="1"/>
  <c r="AH48" i="1"/>
  <c r="AH49" i="1"/>
  <c r="AH50" i="1"/>
  <c r="AH11" i="1"/>
  <c r="AH12" i="1"/>
  <c r="AH13" i="1"/>
  <c r="AH19" i="1"/>
  <c r="AH20" i="1"/>
  <c r="AH21" i="1"/>
  <c r="AH22" i="1"/>
  <c r="AH25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1" i="1"/>
  <c r="D41" i="1"/>
  <c r="C41" i="1"/>
  <c r="E40" i="1"/>
  <c r="D40" i="1"/>
  <c r="C40" i="1"/>
  <c r="E39" i="1"/>
  <c r="D39" i="1"/>
  <c r="C39" i="1"/>
  <c r="B40" i="1"/>
  <c r="B41" i="1"/>
  <c r="B46" i="1"/>
  <c r="B47" i="1"/>
  <c r="B48" i="1"/>
  <c r="B49" i="1"/>
  <c r="B50" i="1"/>
  <c r="B39" i="1"/>
  <c r="H10" i="1"/>
  <c r="AU37" i="1" l="1"/>
  <c r="BP37" i="1"/>
  <c r="BH37" i="1"/>
  <c r="AZ37" i="1"/>
  <c r="BO37" i="1"/>
  <c r="BG37" i="1"/>
  <c r="AY37" i="1"/>
  <c r="BS23" i="1"/>
  <c r="BK23" i="1"/>
  <c r="BC23" i="1"/>
  <c r="BN37" i="1"/>
  <c r="BF37" i="1"/>
  <c r="AX37" i="1"/>
  <c r="BR23" i="1"/>
  <c r="BJ23" i="1"/>
  <c r="BB23" i="1"/>
  <c r="BP51" i="1"/>
  <c r="BS37" i="1"/>
  <c r="BT23" i="1"/>
  <c r="BL23" i="1"/>
  <c r="BD23" i="1"/>
  <c r="AV23" i="1"/>
  <c r="BR51" i="1"/>
  <c r="BJ51" i="1"/>
  <c r="AH23" i="1"/>
  <c r="BU37" i="1"/>
  <c r="BM37" i="1"/>
  <c r="BE37" i="1"/>
  <c r="AW37" i="1"/>
  <c r="BQ23" i="1"/>
  <c r="BI23" i="1"/>
  <c r="BA23" i="1"/>
  <c r="BO51" i="1"/>
  <c r="BT37" i="1"/>
  <c r="BL37" i="1"/>
  <c r="BD37" i="1"/>
  <c r="AV37" i="1"/>
  <c r="BP23" i="1"/>
  <c r="BH23" i="1"/>
  <c r="AZ23" i="1"/>
  <c r="BN51" i="1"/>
  <c r="BK37" i="1"/>
  <c r="BC37" i="1"/>
  <c r="BO23" i="1"/>
  <c r="BG23" i="1"/>
  <c r="AY23" i="1"/>
  <c r="BU51" i="1"/>
  <c r="BM51" i="1"/>
  <c r="AH37" i="1"/>
  <c r="BR37" i="1"/>
  <c r="BJ37" i="1"/>
  <c r="BB37" i="1"/>
  <c r="AU23" i="1"/>
  <c r="BN23" i="1"/>
  <c r="BF23" i="1"/>
  <c r="AX23" i="1"/>
  <c r="BT51" i="1"/>
  <c r="BL51" i="1"/>
  <c r="AH51" i="1"/>
  <c r="BQ37" i="1"/>
  <c r="BI37" i="1"/>
  <c r="BA37" i="1"/>
  <c r="BU23" i="1"/>
  <c r="BM23" i="1"/>
  <c r="BE23" i="1"/>
  <c r="AW23" i="1"/>
  <c r="BS51" i="1"/>
  <c r="BK51" i="1"/>
  <c r="BV13" i="1"/>
  <c r="BI47" i="1"/>
  <c r="BH47" i="1"/>
  <c r="BG47" i="1"/>
  <c r="I10" i="1"/>
  <c r="H8" i="1"/>
  <c r="BF48" i="1"/>
  <c r="BF39" i="1"/>
  <c r="BF49" i="1"/>
  <c r="BI39" i="1"/>
  <c r="BI50" i="1"/>
  <c r="BI49" i="1"/>
  <c r="BI48" i="1"/>
  <c r="BI46" i="1"/>
  <c r="BI41" i="1"/>
  <c r="BI40" i="1"/>
  <c r="BH39" i="1"/>
  <c r="BH50" i="1"/>
  <c r="BH49" i="1"/>
  <c r="BH48" i="1"/>
  <c r="BH46" i="1"/>
  <c r="BH41" i="1"/>
  <c r="BH40" i="1"/>
  <c r="BG39" i="1"/>
  <c r="BG50" i="1"/>
  <c r="BG49" i="1"/>
  <c r="BG48" i="1"/>
  <c r="BG46" i="1"/>
  <c r="BG41" i="1"/>
  <c r="BG40" i="1"/>
  <c r="BF50" i="1"/>
  <c r="BF46" i="1"/>
  <c r="BF41" i="1"/>
  <c r="BF40" i="1"/>
  <c r="AX41" i="1"/>
  <c r="BB49" i="1"/>
  <c r="BE41" i="1"/>
  <c r="BJ8" i="1"/>
  <c r="AW41" i="1"/>
  <c r="BI8" i="1"/>
  <c r="BH8" i="1"/>
  <c r="AY50" i="1"/>
  <c r="AX50" i="1"/>
  <c r="BV35" i="1"/>
  <c r="BP8" i="1"/>
  <c r="BB8" i="1"/>
  <c r="BV36" i="1"/>
  <c r="BV22" i="1"/>
  <c r="BA49" i="1"/>
  <c r="BV27" i="1"/>
  <c r="BA8" i="1"/>
  <c r="AZ47" i="1"/>
  <c r="BR8" i="1"/>
  <c r="AZ8" i="1"/>
  <c r="BV26" i="1"/>
  <c r="BV12" i="1"/>
  <c r="BC46" i="1"/>
  <c r="BQ8" i="1"/>
  <c r="BV25" i="1"/>
  <c r="BV11" i="1"/>
  <c r="BV21" i="1"/>
  <c r="BE39" i="1"/>
  <c r="BB46" i="1"/>
  <c r="AW39" i="1"/>
  <c r="AU46" i="1"/>
  <c r="BV20" i="1"/>
  <c r="AX39" i="1"/>
  <c r="AZ50" i="1"/>
  <c r="BC49" i="1"/>
  <c r="AU49" i="1"/>
  <c r="AX48" i="1"/>
  <c r="BA47" i="1"/>
  <c r="BD46" i="1"/>
  <c r="AV46" i="1"/>
  <c r="AY41" i="1"/>
  <c r="BB40" i="1"/>
  <c r="BD48" i="1"/>
  <c r="AV48" i="1"/>
  <c r="AY47" i="1"/>
  <c r="AZ40" i="1"/>
  <c r="BA40" i="1"/>
  <c r="BO8" i="1"/>
  <c r="BG8" i="1"/>
  <c r="AY8" i="1"/>
  <c r="BC39" i="1"/>
  <c r="BE50" i="1"/>
  <c r="AW50" i="1"/>
  <c r="AZ49" i="1"/>
  <c r="BC48" i="1"/>
  <c r="AU48" i="1"/>
  <c r="AX47" i="1"/>
  <c r="BA46" i="1"/>
  <c r="BD41" i="1"/>
  <c r="AV41" i="1"/>
  <c r="AY40" i="1"/>
  <c r="AW48" i="1"/>
  <c r="BN8" i="1"/>
  <c r="BF8" i="1"/>
  <c r="AX8" i="1"/>
  <c r="BB39" i="1"/>
  <c r="BD50" i="1"/>
  <c r="AV50" i="1"/>
  <c r="AY49" i="1"/>
  <c r="BB48" i="1"/>
  <c r="BE47" i="1"/>
  <c r="AW47" i="1"/>
  <c r="AZ46" i="1"/>
  <c r="BC41" i="1"/>
  <c r="AU41" i="1"/>
  <c r="AX40" i="1"/>
  <c r="AV39" i="1"/>
  <c r="BM8" i="1"/>
  <c r="BE8" i="1"/>
  <c r="AW8" i="1"/>
  <c r="BA39" i="1"/>
  <c r="BC50" i="1"/>
  <c r="AU50" i="1"/>
  <c r="AX49" i="1"/>
  <c r="BA48" i="1"/>
  <c r="BD47" i="1"/>
  <c r="AV47" i="1"/>
  <c r="AY46" i="1"/>
  <c r="BB41" i="1"/>
  <c r="BE40" i="1"/>
  <c r="AW40" i="1"/>
  <c r="BE48" i="1"/>
  <c r="BD39" i="1"/>
  <c r="BT8" i="1"/>
  <c r="BL8" i="1"/>
  <c r="BD8" i="1"/>
  <c r="AV8" i="1"/>
  <c r="AZ39" i="1"/>
  <c r="BB50" i="1"/>
  <c r="BE49" i="1"/>
  <c r="AW49" i="1"/>
  <c r="AZ48" i="1"/>
  <c r="BC47" i="1"/>
  <c r="AU47" i="1"/>
  <c r="AX46" i="1"/>
  <c r="BA41" i="1"/>
  <c r="BD40" i="1"/>
  <c r="AV40" i="1"/>
  <c r="BS8" i="1"/>
  <c r="BK8" i="1"/>
  <c r="BC8" i="1"/>
  <c r="AU39" i="1"/>
  <c r="BD49" i="1"/>
  <c r="BE46" i="1"/>
  <c r="BC40" i="1"/>
  <c r="D16" i="6" l="1" a="1"/>
  <c r="D16" i="6" s="1"/>
  <c r="D7" i="6" a="1"/>
  <c r="D7" i="6" s="1"/>
  <c r="D11" i="6" a="1"/>
  <c r="D11" i="6" s="1"/>
  <c r="D14" i="6" a="1"/>
  <c r="D14" i="6" s="1"/>
  <c r="D15" i="6" a="1"/>
  <c r="D15" i="6" s="1"/>
  <c r="D13" i="6" a="1"/>
  <c r="D13" i="6" s="1"/>
  <c r="D8" i="6" a="1"/>
  <c r="D8" i="6" s="1"/>
  <c r="D9" i="6" a="1"/>
  <c r="D9" i="6" s="1"/>
  <c r="D12" i="6" a="1"/>
  <c r="D12" i="6" s="1"/>
  <c r="D10" i="6" a="1"/>
  <c r="D10" i="6" s="1"/>
  <c r="AY51" i="1"/>
  <c r="AZ51" i="1"/>
  <c r="BB51" i="1"/>
  <c r="BV23" i="1"/>
  <c r="AU51" i="1"/>
  <c r="BA51" i="1"/>
  <c r="BI51" i="1"/>
  <c r="AX51" i="1"/>
  <c r="BH51" i="1"/>
  <c r="BG51" i="1"/>
  <c r="BF51" i="1"/>
  <c r="AW51" i="1"/>
  <c r="BD51" i="1"/>
  <c r="AV51" i="1"/>
  <c r="BV37" i="1"/>
  <c r="BE51" i="1"/>
  <c r="BC51" i="1"/>
  <c r="BX46" i="1"/>
  <c r="BX50" i="1"/>
  <c r="BZ45" i="1"/>
  <c r="BX49" i="1"/>
  <c r="BX41" i="1"/>
  <c r="BZ43" i="1"/>
  <c r="BX47" i="1"/>
  <c r="BX48" i="1"/>
  <c r="BZ15" i="1"/>
  <c r="CA13" i="1"/>
  <c r="CB42" i="1"/>
  <c r="CC44" i="1"/>
  <c r="CC16" i="1"/>
  <c r="BY43" i="1"/>
  <c r="BY16" i="1"/>
  <c r="BY45" i="1"/>
  <c r="CD42" i="1"/>
  <c r="CD50" i="1"/>
  <c r="BX32" i="1"/>
  <c r="BX17" i="1"/>
  <c r="BX42" i="1"/>
  <c r="BZ30" i="1"/>
  <c r="BZ29" i="1"/>
  <c r="CB50" i="1"/>
  <c r="CB19" i="1"/>
  <c r="CC49" i="1"/>
  <c r="CD19" i="1"/>
  <c r="BZ47" i="1"/>
  <c r="BZ50" i="1"/>
  <c r="BZ14" i="1"/>
  <c r="CA20" i="1"/>
  <c r="CA31" i="1"/>
  <c r="CB41" i="1"/>
  <c r="CB46" i="1"/>
  <c r="CB16" i="1"/>
  <c r="CC47" i="1"/>
  <c r="CC43" i="1"/>
  <c r="CC15" i="1"/>
  <c r="BY50" i="1"/>
  <c r="BY15" i="1"/>
  <c r="BY32" i="1"/>
  <c r="CD48" i="1"/>
  <c r="CD18" i="1"/>
  <c r="CD41" i="1"/>
  <c r="BX30" i="1"/>
  <c r="BX16" i="1"/>
  <c r="BX45" i="1"/>
  <c r="BZ20" i="1"/>
  <c r="BZ31" i="1"/>
  <c r="CA18" i="1"/>
  <c r="CA30" i="1"/>
  <c r="CB44" i="1"/>
  <c r="CB29" i="1"/>
  <c r="CB49" i="1"/>
  <c r="CC42" i="1"/>
  <c r="CC46" i="1"/>
  <c r="CC13" i="1"/>
  <c r="BY41" i="1"/>
  <c r="BY13" i="1"/>
  <c r="CD28" i="1"/>
  <c r="CD49" i="1"/>
  <c r="CD16" i="1"/>
  <c r="BX29" i="1"/>
  <c r="BX44" i="1"/>
  <c r="BX14" i="1"/>
  <c r="CA45" i="1"/>
  <c r="BZ13" i="1"/>
  <c r="CA28" i="1"/>
  <c r="CB17" i="1"/>
  <c r="CB30" i="1"/>
  <c r="CC50" i="1"/>
  <c r="BY44" i="1"/>
  <c r="CD45" i="1"/>
  <c r="CA42" i="1"/>
  <c r="BX15" i="1"/>
  <c r="BZ46" i="1"/>
  <c r="CA46" i="1"/>
  <c r="BZ19" i="1"/>
  <c r="BZ28" i="1"/>
  <c r="CA17" i="1"/>
  <c r="CA32" i="1"/>
  <c r="CB13" i="1"/>
  <c r="CB48" i="1"/>
  <c r="CB43" i="1"/>
  <c r="CC41" i="1"/>
  <c r="CC20" i="1"/>
  <c r="BY29" i="1"/>
  <c r="BY20" i="1"/>
  <c r="BY31" i="1"/>
  <c r="CD31" i="1"/>
  <c r="CD43" i="1"/>
  <c r="CD15" i="1"/>
  <c r="BX43" i="1"/>
  <c r="BX13" i="1"/>
  <c r="BZ44" i="1"/>
  <c r="BZ41" i="1"/>
  <c r="CA19" i="1"/>
  <c r="CB28" i="1"/>
  <c r="CC32" i="1"/>
  <c r="CC14" i="1"/>
  <c r="BY14" i="1"/>
  <c r="BY48" i="1"/>
  <c r="CD17" i="1"/>
  <c r="BZ18" i="1"/>
  <c r="BZ49" i="1"/>
  <c r="CA16" i="1"/>
  <c r="CA29" i="1"/>
  <c r="CB47" i="1"/>
  <c r="CB45" i="1"/>
  <c r="CC28" i="1"/>
  <c r="CC29" i="1"/>
  <c r="CC19" i="1"/>
  <c r="BY49" i="1"/>
  <c r="BY19" i="1"/>
  <c r="BY47" i="1"/>
  <c r="CD29" i="1"/>
  <c r="CD30" i="1"/>
  <c r="CD14" i="1"/>
  <c r="BX20" i="1"/>
  <c r="BX31" i="1"/>
  <c r="BZ42" i="1"/>
  <c r="CA49" i="1"/>
  <c r="BZ17" i="1"/>
  <c r="BZ32" i="1"/>
  <c r="CA15" i="1"/>
  <c r="CB18" i="1"/>
  <c r="CB14" i="1"/>
  <c r="CB20" i="1"/>
  <c r="CC31" i="1"/>
  <c r="CC48" i="1"/>
  <c r="CC18" i="1"/>
  <c r="BY46" i="1"/>
  <c r="BY18" i="1"/>
  <c r="BY28" i="1"/>
  <c r="CD47" i="1"/>
  <c r="CD46" i="1"/>
  <c r="CD13" i="1"/>
  <c r="BX19" i="1"/>
  <c r="CA44" i="1"/>
  <c r="CA50" i="1"/>
  <c r="CA43" i="1"/>
  <c r="BZ16" i="1"/>
  <c r="BZ48" i="1"/>
  <c r="CA14" i="1"/>
  <c r="CB31" i="1"/>
  <c r="CB32" i="1"/>
  <c r="CB15" i="1"/>
  <c r="CC30" i="1"/>
  <c r="CC45" i="1"/>
  <c r="CC17" i="1"/>
  <c r="BY30" i="1"/>
  <c r="BY17" i="1"/>
  <c r="BY42" i="1"/>
  <c r="CD32" i="1"/>
  <c r="CD20" i="1"/>
  <c r="CD44" i="1"/>
  <c r="BX18" i="1"/>
  <c r="BX28" i="1"/>
  <c r="CA41" i="1"/>
  <c r="CA48" i="1"/>
  <c r="CA47" i="1"/>
  <c r="J10" i="1"/>
  <c r="I8" i="1"/>
  <c r="CA21" i="1"/>
  <c r="BV46" i="1"/>
  <c r="CB26" i="1"/>
  <c r="CC25" i="1"/>
  <c r="BZ12" i="1"/>
  <c r="BX36" i="1"/>
  <c r="CD33" i="1"/>
  <c r="CB40" i="1"/>
  <c r="CC27" i="1"/>
  <c r="CA22" i="1"/>
  <c r="CC39" i="1"/>
  <c r="CD11" i="1"/>
  <c r="CD26" i="1"/>
  <c r="CA40" i="1"/>
  <c r="CA12" i="1"/>
  <c r="CB11" i="1"/>
  <c r="BZ21" i="1"/>
  <c r="CD39" i="1"/>
  <c r="BV40" i="1"/>
  <c r="BZ25" i="1"/>
  <c r="BX35" i="1"/>
  <c r="CC11" i="1"/>
  <c r="CC26" i="1"/>
  <c r="BZ27" i="1"/>
  <c r="CD40" i="1"/>
  <c r="CB27" i="1"/>
  <c r="CD25" i="1"/>
  <c r="CB22" i="1"/>
  <c r="BX39" i="1"/>
  <c r="BX22" i="1"/>
  <c r="BZ39" i="1"/>
  <c r="BY36" i="1"/>
  <c r="BX34" i="1"/>
  <c r="CC40" i="1"/>
  <c r="CD27" i="1"/>
  <c r="CD12" i="1"/>
  <c r="BY33" i="1"/>
  <c r="CD34" i="1"/>
  <c r="BV50" i="1"/>
  <c r="BY27" i="1"/>
  <c r="BZ11" i="1"/>
  <c r="BZ26" i="1"/>
  <c r="BX21" i="1"/>
  <c r="CA25" i="1"/>
  <c r="BY35" i="1"/>
  <c r="CC12" i="1"/>
  <c r="BX33" i="1"/>
  <c r="BZ34" i="1"/>
  <c r="CC33" i="1"/>
  <c r="BZ22" i="1"/>
  <c r="CA36" i="1"/>
  <c r="BX12" i="1"/>
  <c r="CC21" i="1"/>
  <c r="CD22" i="1"/>
  <c r="BX26" i="1"/>
  <c r="CA33" i="1"/>
  <c r="CB34" i="1"/>
  <c r="CC35" i="1"/>
  <c r="CD36" i="1"/>
  <c r="BY26" i="1"/>
  <c r="BY25" i="1"/>
  <c r="CB21" i="1"/>
  <c r="CC36" i="1"/>
  <c r="BY12" i="1"/>
  <c r="CB33" i="1"/>
  <c r="CA34" i="1"/>
  <c r="BY11" i="1"/>
  <c r="CD35" i="1"/>
  <c r="BX11" i="1"/>
  <c r="BX25" i="1"/>
  <c r="BY40" i="1"/>
  <c r="BY39" i="1"/>
  <c r="CC34" i="1"/>
  <c r="CB35" i="1"/>
  <c r="CD21" i="1"/>
  <c r="CC22" i="1"/>
  <c r="BZ40" i="1"/>
  <c r="CA27" i="1"/>
  <c r="BY22" i="1"/>
  <c r="CA39" i="1"/>
  <c r="CB12" i="1"/>
  <c r="BZ36" i="1"/>
  <c r="BY34" i="1"/>
  <c r="CA35" i="1"/>
  <c r="BX40" i="1"/>
  <c r="CB39" i="1"/>
  <c r="BV47" i="1"/>
  <c r="BV41" i="1"/>
  <c r="BZ33" i="1"/>
  <c r="CA11" i="1"/>
  <c r="CA26" i="1"/>
  <c r="BY21" i="1"/>
  <c r="CB25" i="1"/>
  <c r="BZ35" i="1"/>
  <c r="BX27" i="1"/>
  <c r="CB36" i="1"/>
  <c r="BV39" i="1"/>
  <c r="BV49" i="1"/>
  <c r="BV48" i="1"/>
  <c r="I7" i="6" l="1" a="1"/>
  <c r="I7" i="6" s="1"/>
  <c r="K7" i="6" s="1" a="1"/>
  <c r="K7" i="6" s="1"/>
  <c r="D17" i="6"/>
  <c r="CB51" i="1"/>
  <c r="BX37" i="1"/>
  <c r="CC37" i="1"/>
  <c r="CC51" i="1"/>
  <c r="CA23" i="1"/>
  <c r="CD51" i="1"/>
  <c r="BZ37" i="1"/>
  <c r="BY23" i="1"/>
  <c r="BZ23" i="1"/>
  <c r="I8" i="6" s="1" a="1"/>
  <c r="I8" i="6" s="1"/>
  <c r="K8" i="6" s="1" a="1"/>
  <c r="K8" i="6" s="1"/>
  <c r="CA51" i="1"/>
  <c r="BY51" i="1"/>
  <c r="CB23" i="1"/>
  <c r="CA37" i="1"/>
  <c r="CD23" i="1"/>
  <c r="CD37" i="1"/>
  <c r="BV51" i="1"/>
  <c r="E8" i="6" s="1" a="1"/>
  <c r="E8" i="6" s="1"/>
  <c r="BZ51" i="1"/>
  <c r="CC23" i="1"/>
  <c r="G16" i="6" s="1" a="1"/>
  <c r="G16" i="6" s="1"/>
  <c r="CB37" i="1"/>
  <c r="BX23" i="1"/>
  <c r="BY37" i="1"/>
  <c r="BX51" i="1"/>
  <c r="CE19" i="1"/>
  <c r="CE18" i="1"/>
  <c r="CE44" i="1"/>
  <c r="CE32" i="1"/>
  <c r="CE15" i="1"/>
  <c r="CE28" i="1"/>
  <c r="CE17" i="1"/>
  <c r="CE16" i="1"/>
  <c r="CE13" i="1"/>
  <c r="CE43" i="1"/>
  <c r="CE30" i="1"/>
  <c r="CE42" i="1"/>
  <c r="CE20" i="1"/>
  <c r="CE29" i="1"/>
  <c r="CE46" i="1"/>
  <c r="CE14" i="1"/>
  <c r="CE45" i="1"/>
  <c r="CE31" i="1"/>
  <c r="CE49" i="1"/>
  <c r="CE50" i="1"/>
  <c r="CE48" i="1"/>
  <c r="CE41" i="1"/>
  <c r="CE47" i="1"/>
  <c r="K10" i="1"/>
  <c r="J8" i="1"/>
  <c r="CE22" i="1"/>
  <c r="CE34" i="1"/>
  <c r="CE39" i="1"/>
  <c r="CE27" i="1"/>
  <c r="CE36" i="1"/>
  <c r="CE40" i="1"/>
  <c r="CE26" i="1"/>
  <c r="CE21" i="1"/>
  <c r="CE25" i="1"/>
  <c r="CE12" i="1"/>
  <c r="CE33" i="1"/>
  <c r="CE11" i="1"/>
  <c r="CE35" i="1"/>
  <c r="G7" i="6" l="1" a="1"/>
  <c r="G7" i="6" s="1"/>
  <c r="I9" i="6" a="1"/>
  <c r="I9" i="6" s="1"/>
  <c r="K9" i="6" s="1" a="1"/>
  <c r="K9" i="6" s="1"/>
  <c r="G14" i="6" a="1"/>
  <c r="G14" i="6" s="1"/>
  <c r="G12" i="6" a="1"/>
  <c r="G12" i="6" s="1"/>
  <c r="E7" i="6" a="1"/>
  <c r="E7" i="6" s="1"/>
  <c r="E14" i="6" a="1"/>
  <c r="E14" i="6" s="1"/>
  <c r="E16" i="6" a="1"/>
  <c r="E16" i="6" s="1"/>
  <c r="I13" i="6" a="1"/>
  <c r="I13" i="6" s="1"/>
  <c r="K13" i="6" s="1" a="1"/>
  <c r="K13" i="6" s="1"/>
  <c r="M13" i="6" s="1"/>
  <c r="I10" i="6" a="1"/>
  <c r="I10" i="6" s="1"/>
  <c r="K10" i="6" s="1" a="1"/>
  <c r="K10" i="6" s="1"/>
  <c r="M10" i="6" s="1"/>
  <c r="E10" i="6" a="1"/>
  <c r="E10" i="6" s="1"/>
  <c r="G9" i="6" a="1"/>
  <c r="G9" i="6" s="1"/>
  <c r="I15" i="6" a="1"/>
  <c r="I15" i="6" s="1"/>
  <c r="K15" i="6" s="1" a="1"/>
  <c r="K15" i="6" s="1"/>
  <c r="I12" i="6" a="1"/>
  <c r="I12" i="6" s="1"/>
  <c r="K12" i="6" s="1" a="1"/>
  <c r="K12" i="6" s="1"/>
  <c r="O12" i="6" s="1"/>
  <c r="E9" i="6" a="1"/>
  <c r="E9" i="6" s="1"/>
  <c r="I11" i="6" a="1"/>
  <c r="I11" i="6" s="1"/>
  <c r="K11" i="6" s="1" a="1"/>
  <c r="K11" i="6" s="1"/>
  <c r="M11" i="6" s="1"/>
  <c r="G11" i="6" a="1"/>
  <c r="G11" i="6" s="1"/>
  <c r="G8" i="6" a="1"/>
  <c r="G8" i="6" s="1"/>
  <c r="I14" i="6" a="1"/>
  <c r="I14" i="6" s="1"/>
  <c r="K14" i="6" s="1" a="1"/>
  <c r="K14" i="6" s="1"/>
  <c r="O14" i="6" s="1"/>
  <c r="E12" i="6" a="1"/>
  <c r="E12" i="6" s="1"/>
  <c r="G13" i="6" a="1"/>
  <c r="G13" i="6" s="1"/>
  <c r="G10" i="6" a="1"/>
  <c r="G10" i="6" s="1"/>
  <c r="I16" i="6" a="1"/>
  <c r="I16" i="6" s="1"/>
  <c r="K16" i="6" s="1" a="1"/>
  <c r="K16" i="6" s="1"/>
  <c r="M16" i="6" s="1"/>
  <c r="E15" i="6" a="1"/>
  <c r="E15" i="6" s="1"/>
  <c r="G15" i="6" a="1"/>
  <c r="G15" i="6" s="1"/>
  <c r="E11" i="6" a="1"/>
  <c r="E11" i="6" s="1"/>
  <c r="E13" i="6" a="1"/>
  <c r="E13" i="6" s="1"/>
  <c r="CE51" i="1"/>
  <c r="CE23" i="1"/>
  <c r="CE37" i="1"/>
  <c r="L10" i="1"/>
  <c r="K8" i="1"/>
  <c r="M14" i="6" l="1"/>
  <c r="O9" i="6"/>
  <c r="O15" i="6"/>
  <c r="M12" i="6"/>
  <c r="O10" i="6"/>
  <c r="O8" i="6"/>
  <c r="E17" i="6"/>
  <c r="M15" i="6"/>
  <c r="G17" i="6"/>
  <c r="O16" i="6"/>
  <c r="O11" i="6"/>
  <c r="I17" i="6"/>
  <c r="M9" i="6"/>
  <c r="M8" i="6"/>
  <c r="O13" i="6"/>
  <c r="M10" i="1"/>
  <c r="L8" i="1"/>
  <c r="M7" i="6"/>
  <c r="O7" i="6"/>
  <c r="K17" i="6"/>
  <c r="O17" i="6" l="1"/>
  <c r="M17" i="6"/>
  <c r="N10" i="1"/>
  <c r="M8" i="1"/>
  <c r="O10" i="1" l="1"/>
  <c r="N8" i="1"/>
  <c r="P10" i="1" l="1"/>
  <c r="O8" i="1"/>
  <c r="Q10" i="1" l="1"/>
  <c r="P8" i="1"/>
  <c r="R10" i="1" l="1"/>
  <c r="Q8" i="1"/>
  <c r="S10" i="1" l="1"/>
  <c r="R8" i="1"/>
  <c r="T10" i="1" l="1"/>
  <c r="S8" i="1"/>
  <c r="U10" i="1" l="1"/>
  <c r="T8" i="1"/>
  <c r="V10" i="1" l="1"/>
  <c r="U8" i="1"/>
  <c r="W10" i="1" l="1"/>
  <c r="V8" i="1"/>
  <c r="X10" i="1" l="1"/>
  <c r="W8" i="1"/>
  <c r="Y10" i="1" l="1"/>
  <c r="X8" i="1"/>
  <c r="Z10" i="1" l="1"/>
  <c r="Y8" i="1"/>
  <c r="AA10" i="1" l="1"/>
  <c r="Z8" i="1"/>
  <c r="AB10" i="1" l="1"/>
  <c r="AA8" i="1"/>
  <c r="AC10" i="1" l="1"/>
  <c r="AB8" i="1"/>
  <c r="AD10" i="1" l="1"/>
  <c r="AC8" i="1"/>
  <c r="AE10" i="1" l="1"/>
  <c r="AD8" i="1"/>
  <c r="AF10" i="1" l="1"/>
  <c r="AE8" i="1"/>
  <c r="AG10" i="1" l="1"/>
  <c r="AF8" i="1"/>
  <c r="G8" i="9" l="1" a="1"/>
  <c r="G8" i="9" s="1"/>
  <c r="F9" i="9" a="1"/>
  <c r="F9" i="9" s="1"/>
  <c r="G16" i="9" a="1"/>
  <c r="G16" i="9" s="1"/>
  <c r="F15" i="9" a="1"/>
  <c r="F15" i="9" s="1"/>
  <c r="G6" i="9" a="1"/>
  <c r="G6" i="9" s="1"/>
  <c r="G11" i="9" a="1"/>
  <c r="G11" i="9" s="1"/>
  <c r="G15" i="9" a="1"/>
  <c r="G15" i="9" s="1"/>
  <c r="F12" i="9" a="1"/>
  <c r="F12" i="9" s="1"/>
  <c r="F16" i="9" a="1"/>
  <c r="F16" i="9" s="1"/>
  <c r="G7" i="9" a="1"/>
  <c r="G7" i="9" s="1"/>
  <c r="F14" i="9" a="1"/>
  <c r="F14" i="9" s="1"/>
  <c r="F8" i="9" a="1"/>
  <c r="F8" i="9" s="1"/>
  <c r="G13" i="9" a="1"/>
  <c r="G13" i="9" s="1"/>
  <c r="F6" i="9" a="1"/>
  <c r="F6" i="9" s="1"/>
  <c r="F7" i="9" a="1"/>
  <c r="F7" i="9" s="1"/>
  <c r="G9" i="9" a="1"/>
  <c r="G9" i="9" s="1"/>
  <c r="G14" i="9" a="1"/>
  <c r="G14" i="9" s="1"/>
  <c r="G12" i="9" a="1"/>
  <c r="G12" i="9" s="1"/>
  <c r="F11" i="9" a="1"/>
  <c r="F11" i="9" s="1"/>
  <c r="G10" i="9" a="1"/>
  <c r="G10" i="9" s="1"/>
  <c r="F5" i="9" a="1"/>
  <c r="F5" i="9" s="1"/>
  <c r="F10" i="9" a="1"/>
  <c r="F10" i="9" s="1"/>
  <c r="F13" i="9" a="1"/>
  <c r="F13" i="9" s="1"/>
  <c r="G5" i="9" a="1"/>
  <c r="G5" i="9" s="1"/>
  <c r="AG8" i="1"/>
  <c r="AL29" i="1" s="1"/>
  <c r="H8" i="9" l="1"/>
  <c r="H16" i="9"/>
  <c r="H6" i="9"/>
  <c r="H13" i="9"/>
  <c r="H11" i="9"/>
  <c r="H10" i="9"/>
  <c r="H12" i="9"/>
  <c r="G17" i="9"/>
  <c r="H7" i="9"/>
  <c r="H5" i="9"/>
  <c r="F17" i="9"/>
  <c r="H15" i="9"/>
  <c r="H14" i="9"/>
  <c r="H9" i="9"/>
  <c r="AJ31" i="1"/>
  <c r="AJ12" i="1"/>
  <c r="AP29" i="1"/>
  <c r="AO47" i="1"/>
  <c r="AM46" i="1"/>
  <c r="AL46" i="1"/>
  <c r="AK32" i="1"/>
  <c r="AN45" i="1"/>
  <c r="AJ21" i="1"/>
  <c r="AO50" i="1"/>
  <c r="AJ49" i="1"/>
  <c r="AL35" i="1"/>
  <c r="AO35" i="1"/>
  <c r="AL32" i="1"/>
  <c r="AK18" i="1"/>
  <c r="AM21" i="1"/>
  <c r="AN44" i="1"/>
  <c r="AJ41" i="1"/>
  <c r="AP18" i="1"/>
  <c r="AO30" i="1"/>
  <c r="AL41" i="1"/>
  <c r="AO42" i="1"/>
  <c r="AP28" i="1"/>
  <c r="AM22" i="1"/>
  <c r="AP32" i="1"/>
  <c r="AL12" i="1"/>
  <c r="AK35" i="1"/>
  <c r="AJ28" i="1"/>
  <c r="AN28" i="1"/>
  <c r="AJ17" i="1"/>
  <c r="AM15" i="1"/>
  <c r="AL50" i="1"/>
  <c r="AO13" i="1"/>
  <c r="AL17" i="1"/>
  <c r="AK45" i="1"/>
  <c r="AJ48" i="1"/>
  <c r="AP22" i="1"/>
  <c r="AM49" i="1"/>
  <c r="AO41" i="1"/>
  <c r="AK47" i="1"/>
  <c r="AL22" i="1"/>
  <c r="AM19" i="1"/>
  <c r="AK30" i="1"/>
  <c r="AL31" i="1"/>
  <c r="AM16" i="1"/>
  <c r="AM42" i="1"/>
  <c r="AN40" i="1"/>
  <c r="AL43" i="1"/>
  <c r="AP20" i="1"/>
  <c r="AJ34" i="1"/>
  <c r="AL16" i="1"/>
  <c r="AL21" i="1"/>
  <c r="AJ32" i="1"/>
  <c r="AO14" i="1"/>
  <c r="AO20" i="1"/>
  <c r="AM44" i="1"/>
  <c r="AK31" i="1"/>
  <c r="AN13" i="1"/>
  <c r="AO43" i="1"/>
  <c r="AM30" i="1"/>
  <c r="AP21" i="1"/>
  <c r="AK15" i="1"/>
  <c r="AL34" i="1"/>
  <c r="AL40" i="1"/>
  <c r="AO22" i="1"/>
  <c r="AP31" i="1"/>
  <c r="AL49" i="1"/>
  <c r="AP47" i="1"/>
  <c r="AN35" i="1"/>
  <c r="AK43" i="1"/>
  <c r="AN29" i="1"/>
  <c r="AP42" i="1"/>
  <c r="AN47" i="1"/>
  <c r="AO29" i="1"/>
  <c r="AK28" i="1"/>
  <c r="AO17" i="1"/>
  <c r="AL15" i="1"/>
  <c r="AJ42" i="1"/>
  <c r="AM12" i="1"/>
  <c r="AL20" i="1"/>
  <c r="AM32" i="1"/>
  <c r="AO33" i="1"/>
  <c r="AO21" i="1"/>
  <c r="AJ14" i="1"/>
  <c r="AJ46" i="1"/>
  <c r="AM43" i="1"/>
  <c r="AJ30" i="1"/>
  <c r="AP35" i="1"/>
  <c r="AP12" i="1"/>
  <c r="AK16" i="1"/>
  <c r="AK41" i="1"/>
  <c r="AJ44" i="1"/>
  <c r="AN14" i="1"/>
  <c r="AL42" i="1"/>
  <c r="AN48" i="1"/>
  <c r="AM14" i="1"/>
  <c r="AN19" i="1"/>
  <c r="AL13" i="1"/>
  <c r="AP48" i="1"/>
  <c r="AJ15" i="1"/>
  <c r="AL18" i="1"/>
  <c r="AN42" i="1"/>
  <c r="AJ45" i="1"/>
  <c r="AM45" i="1"/>
  <c r="AP45" i="1"/>
  <c r="AN30" i="1"/>
  <c r="AM31" i="1"/>
  <c r="AP14" i="1"/>
  <c r="AM34" i="1"/>
  <c r="AP40" i="1"/>
  <c r="AN33" i="1"/>
  <c r="AO34" i="1"/>
  <c r="AM29" i="1"/>
  <c r="AO19" i="1"/>
  <c r="AP49" i="1"/>
  <c r="AO46" i="1"/>
  <c r="AP33" i="1"/>
  <c r="AO40" i="1"/>
  <c r="AK13" i="1"/>
  <c r="AN15" i="1"/>
  <c r="AN20" i="1"/>
  <c r="AJ43" i="1"/>
  <c r="AJ47" i="1"/>
  <c r="AN46" i="1"/>
  <c r="AK49" i="1"/>
  <c r="AJ40" i="1"/>
  <c r="AN17" i="1"/>
  <c r="AK46" i="1"/>
  <c r="AL48" i="1"/>
  <c r="AK44" i="1"/>
  <c r="AK19" i="1"/>
  <c r="AK20" i="1"/>
  <c r="AN31" i="1"/>
  <c r="AJ35" i="1"/>
  <c r="AJ20" i="1"/>
  <c r="AO49" i="1"/>
  <c r="AK40" i="1"/>
  <c r="AM41" i="1"/>
  <c r="AK14" i="1"/>
  <c r="AO44" i="1"/>
  <c r="AM35" i="1"/>
  <c r="AJ18" i="1"/>
  <c r="AP34" i="1"/>
  <c r="AP44" i="1"/>
  <c r="AO12" i="1"/>
  <c r="AJ19" i="1"/>
  <c r="AN18" i="1"/>
  <c r="AP19" i="1"/>
  <c r="AN12" i="1"/>
  <c r="AM33" i="1"/>
  <c r="AO28" i="1"/>
  <c r="AP41" i="1"/>
  <c r="AK33" i="1"/>
  <c r="AM47" i="1"/>
  <c r="AN21" i="1"/>
  <c r="AO15" i="1"/>
  <c r="AK42" i="1"/>
  <c r="AM13" i="1"/>
  <c r="AK22" i="1"/>
  <c r="AN49" i="1"/>
  <c r="AM18" i="1"/>
  <c r="AK12" i="1"/>
  <c r="AN50" i="1"/>
  <c r="AJ29" i="1"/>
  <c r="AK17" i="1"/>
  <c r="AM48" i="1"/>
  <c r="AL19" i="1"/>
  <c r="AP16" i="1"/>
  <c r="AK48" i="1"/>
  <c r="AJ50" i="1"/>
  <c r="AP13" i="1"/>
  <c r="AP30" i="1"/>
  <c r="AK50" i="1"/>
  <c r="AP15" i="1"/>
  <c r="AN16" i="1"/>
  <c r="AM50" i="1"/>
  <c r="AJ33" i="1"/>
  <c r="AM28" i="1"/>
  <c r="AP17" i="1"/>
  <c r="AO48" i="1"/>
  <c r="AL30" i="1"/>
  <c r="AK29" i="1"/>
  <c r="AM20" i="1"/>
  <c r="AL33" i="1"/>
  <c r="AJ13" i="1"/>
  <c r="AO31" i="1"/>
  <c r="AO32" i="1"/>
  <c r="AL28" i="1"/>
  <c r="AK21" i="1"/>
  <c r="AM17" i="1"/>
  <c r="AN34" i="1"/>
  <c r="AM40" i="1"/>
  <c r="AP50" i="1"/>
  <c r="AJ22" i="1"/>
  <c r="AO45" i="1"/>
  <c r="AK34" i="1"/>
  <c r="AL45" i="1"/>
  <c r="AP46" i="1"/>
  <c r="AL44" i="1"/>
  <c r="AP43" i="1"/>
  <c r="AL47" i="1"/>
  <c r="AN41" i="1"/>
  <c r="AN22" i="1"/>
  <c r="AO18" i="1"/>
  <c r="AL14" i="1"/>
  <c r="AJ16" i="1"/>
  <c r="AN32" i="1"/>
  <c r="AN43" i="1"/>
  <c r="AO16" i="1"/>
  <c r="AJ25" i="1"/>
  <c r="AM39" i="1"/>
  <c r="AL26" i="1"/>
  <c r="AN27" i="1"/>
  <c r="AJ27" i="1"/>
  <c r="AN26" i="1"/>
  <c r="AO39" i="1"/>
  <c r="AM26" i="1"/>
  <c r="AN25" i="1"/>
  <c r="AP39" i="1"/>
  <c r="AK36" i="1"/>
  <c r="AM27" i="1"/>
  <c r="AK27" i="1"/>
  <c r="AP36" i="1"/>
  <c r="AP26" i="1"/>
  <c r="AO25" i="1"/>
  <c r="AK26" i="1"/>
  <c r="AM25" i="1"/>
  <c r="AO26" i="1"/>
  <c r="AP27" i="1"/>
  <c r="AN11" i="1"/>
  <c r="AP11" i="1"/>
  <c r="AL36" i="1"/>
  <c r="AO36" i="1"/>
  <c r="AM11" i="1"/>
  <c r="AP25" i="1"/>
  <c r="AK25" i="1"/>
  <c r="AN36" i="1"/>
  <c r="AK11" i="1"/>
  <c r="AL27" i="1"/>
  <c r="AO11" i="1"/>
  <c r="AJ36" i="1"/>
  <c r="AL11" i="1"/>
  <c r="AJ11" i="1"/>
  <c r="AN39" i="1"/>
  <c r="AO27" i="1"/>
  <c r="AK39" i="1"/>
  <c r="AJ26" i="1"/>
  <c r="AL25" i="1"/>
  <c r="AL37" i="1" s="1"/>
  <c r="AJ39" i="1"/>
  <c r="AL39" i="1"/>
  <c r="AM36" i="1"/>
  <c r="AM51" i="1" l="1"/>
  <c r="AJ23" i="1"/>
  <c r="H7" i="6" s="1" a="1"/>
  <c r="H7" i="6" s="1"/>
  <c r="J7" i="6" s="1" a="1"/>
  <c r="J7" i="6" s="1"/>
  <c r="AP37" i="1"/>
  <c r="AP51" i="1"/>
  <c r="AM23" i="1"/>
  <c r="AN37" i="1"/>
  <c r="AJ37" i="1"/>
  <c r="AO37" i="1"/>
  <c r="AO51" i="1"/>
  <c r="AL51" i="1"/>
  <c r="AO23" i="1"/>
  <c r="AP23" i="1"/>
  <c r="AK51" i="1"/>
  <c r="AK23" i="1"/>
  <c r="H15" i="6" s="1" a="1"/>
  <c r="H15" i="6" s="1"/>
  <c r="J15" i="6" s="1" a="1"/>
  <c r="J15" i="6" s="1"/>
  <c r="AN23" i="1"/>
  <c r="H13" i="6" s="1" a="1"/>
  <c r="H13" i="6" s="1"/>
  <c r="J13" i="6" s="1" a="1"/>
  <c r="J13" i="6" s="1"/>
  <c r="AM37" i="1"/>
  <c r="AJ51" i="1"/>
  <c r="AL23" i="1"/>
  <c r="AN51" i="1"/>
  <c r="AK37" i="1"/>
  <c r="H17" i="9"/>
  <c r="AQ30" i="1"/>
  <c r="AQ18" i="1"/>
  <c r="AQ42" i="1"/>
  <c r="AQ32" i="1"/>
  <c r="AQ17" i="1"/>
  <c r="AQ29" i="1"/>
  <c r="AQ15" i="1"/>
  <c r="AQ44" i="1"/>
  <c r="AQ28" i="1"/>
  <c r="AQ43" i="1"/>
  <c r="AQ45" i="1"/>
  <c r="AQ16" i="1"/>
  <c r="AQ33" i="1"/>
  <c r="AQ14" i="1"/>
  <c r="AQ31" i="1"/>
  <c r="AQ11" i="1"/>
  <c r="AQ19" i="1"/>
  <c r="AQ20" i="1"/>
  <c r="AQ35" i="1"/>
  <c r="AQ50" i="1"/>
  <c r="AQ40" i="1"/>
  <c r="AQ48" i="1"/>
  <c r="AQ12" i="1"/>
  <c r="AQ39" i="1"/>
  <c r="AQ21" i="1"/>
  <c r="AQ22" i="1"/>
  <c r="AQ46" i="1"/>
  <c r="AQ27" i="1"/>
  <c r="AQ47" i="1"/>
  <c r="AQ34" i="1"/>
  <c r="AQ41" i="1"/>
  <c r="AQ49" i="1"/>
  <c r="AQ26" i="1"/>
  <c r="AQ36" i="1"/>
  <c r="AQ13" i="1"/>
  <c r="AQ25" i="1"/>
  <c r="H11" i="6" l="1" a="1"/>
  <c r="H11" i="6" s="1"/>
  <c r="J11" i="6" s="1" a="1"/>
  <c r="J11" i="6" s="1"/>
  <c r="F8" i="6" a="1"/>
  <c r="F8" i="6" s="1"/>
  <c r="H8" i="6" a="1"/>
  <c r="H8" i="6" s="1"/>
  <c r="J8" i="6" s="1" a="1"/>
  <c r="J8" i="6" s="1"/>
  <c r="F10" i="6" a="1"/>
  <c r="F10" i="6" s="1"/>
  <c r="H10" i="6" a="1"/>
  <c r="H10" i="6" s="1"/>
  <c r="J10" i="6" s="1" a="1"/>
  <c r="J10" i="6" s="1"/>
  <c r="F12" i="6" a="1"/>
  <c r="F12" i="6" s="1"/>
  <c r="H12" i="6" a="1"/>
  <c r="H12" i="6" s="1"/>
  <c r="J12" i="6" s="1" a="1"/>
  <c r="J12" i="6" s="1"/>
  <c r="N12" i="6" s="1"/>
  <c r="F13" i="6" a="1"/>
  <c r="F13" i="6" s="1"/>
  <c r="F14" i="6" a="1"/>
  <c r="F14" i="6" s="1"/>
  <c r="H14" i="6" a="1"/>
  <c r="H14" i="6" s="1"/>
  <c r="J14" i="6" s="1" a="1"/>
  <c r="J14" i="6" s="1"/>
  <c r="N14" i="6" s="1"/>
  <c r="F15" i="6" a="1"/>
  <c r="F15" i="6" s="1"/>
  <c r="F16" i="6" a="1"/>
  <c r="F16" i="6" s="1"/>
  <c r="H16" i="6" a="1"/>
  <c r="H16" i="6" s="1"/>
  <c r="J16" i="6" s="1" a="1"/>
  <c r="J16" i="6" s="1"/>
  <c r="L16" i="6" s="1"/>
  <c r="F9" i="6" a="1"/>
  <c r="F9" i="6" s="1"/>
  <c r="H9" i="6" a="1"/>
  <c r="H9" i="6" s="1"/>
  <c r="J9" i="6" s="1" a="1"/>
  <c r="J9" i="6" s="1"/>
  <c r="L9" i="6" s="1"/>
  <c r="F7" i="6" a="1"/>
  <c r="F7" i="6" s="1"/>
  <c r="F11" i="6" a="1"/>
  <c r="F11" i="6" s="1"/>
  <c r="AQ23" i="1"/>
  <c r="N8" i="6"/>
  <c r="AQ37" i="1"/>
  <c r="N7" i="6"/>
  <c r="L15" i="6"/>
  <c r="AQ51" i="1"/>
  <c r="L10" i="6"/>
  <c r="N13" i="6"/>
  <c r="N11" i="6"/>
  <c r="L11" i="6"/>
  <c r="L14" i="6" l="1"/>
  <c r="N15" i="6"/>
  <c r="L8" i="6"/>
  <c r="F17" i="6"/>
  <c r="L13" i="6"/>
  <c r="H17" i="6"/>
  <c r="L12" i="6"/>
  <c r="N9" i="6"/>
  <c r="N16" i="6"/>
  <c r="N10" i="6"/>
  <c r="L7" i="6"/>
  <c r="J17" i="6"/>
  <c r="N17" i="6" l="1"/>
  <c r="L1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<sst xmlns="http://schemas.openxmlformats.org/spreadsheetml/2006/main" count="259" uniqueCount="82">
  <si>
    <t>Position</t>
  </si>
  <si>
    <t>Discipline</t>
  </si>
  <si>
    <t>Comments</t>
  </si>
  <si>
    <t>Weekly hours</t>
  </si>
  <si>
    <t>Monthly hours</t>
  </si>
  <si>
    <t>Forecast</t>
  </si>
  <si>
    <t>Engineering</t>
  </si>
  <si>
    <t>Lead Process Engineer</t>
  </si>
  <si>
    <t>Senior Mechanical Engineer</t>
  </si>
  <si>
    <t>Instrumentation Engineer</t>
  </si>
  <si>
    <t>Procurement</t>
  </si>
  <si>
    <t>Procurement Specialist</t>
  </si>
  <si>
    <t>Contracts Engineer</t>
  </si>
  <si>
    <t>Associate Cost Controller</t>
  </si>
  <si>
    <t>Aydan Kazimzade</t>
  </si>
  <si>
    <t>Departament</t>
  </si>
  <si>
    <t>Project Controls</t>
  </si>
  <si>
    <t>Information Management</t>
  </si>
  <si>
    <t>Actual</t>
  </si>
  <si>
    <t>Total hours</t>
  </si>
  <si>
    <t>blank</t>
  </si>
  <si>
    <t>Non-engineering</t>
  </si>
  <si>
    <t>Total cost</t>
  </si>
  <si>
    <t>Monthly Cost</t>
  </si>
  <si>
    <t>Week:</t>
  </si>
  <si>
    <t>Hours</t>
  </si>
  <si>
    <t>Cost</t>
  </si>
  <si>
    <t>Forecast at Completion</t>
  </si>
  <si>
    <t>Forecast to Go</t>
  </si>
  <si>
    <t>Budget</t>
  </si>
  <si>
    <t>Actual to Date</t>
  </si>
  <si>
    <t>Period Actual</t>
  </si>
  <si>
    <t>Total</t>
  </si>
  <si>
    <t>Budget Variance</t>
  </si>
  <si>
    <t>Description</t>
  </si>
  <si>
    <t>Project Controls Lead</t>
  </si>
  <si>
    <t>NL</t>
  </si>
  <si>
    <t>Lina Maytum</t>
  </si>
  <si>
    <t>Rutger Claiden</t>
  </si>
  <si>
    <t>Mavra Pandie</t>
  </si>
  <si>
    <t>Dulciana Peche</t>
  </si>
  <si>
    <t>Alejoa O'Heffernan</t>
  </si>
  <si>
    <t>Jayme Shufflebotham</t>
  </si>
  <si>
    <t>Abbey McAllister</t>
  </si>
  <si>
    <t>Project Admin</t>
  </si>
  <si>
    <t>Senior Piping Engineer</t>
  </si>
  <si>
    <t>Lead Structural Engineer</t>
  </si>
  <si>
    <t>Electrical Engineer</t>
  </si>
  <si>
    <t>HSE Engineer</t>
  </si>
  <si>
    <t>HSE</t>
  </si>
  <si>
    <t>Constancy Van Halle</t>
  </si>
  <si>
    <t>Ashli Gaisford</t>
  </si>
  <si>
    <t>Minor Betton</t>
  </si>
  <si>
    <t>Darren Gellibrand</t>
  </si>
  <si>
    <t>Workhours by calendar</t>
  </si>
  <si>
    <t>Project Information Manager</t>
  </si>
  <si>
    <t>Comments:</t>
  </si>
  <si>
    <t>Cut-off:</t>
  </si>
  <si>
    <t>Project Monthly Cost Report</t>
  </si>
  <si>
    <t>Delta</t>
  </si>
  <si>
    <t>Process</t>
  </si>
  <si>
    <t>Mechanical</t>
  </si>
  <si>
    <t>Instrumentation</t>
  </si>
  <si>
    <t>Piping</t>
  </si>
  <si>
    <t>Structural</t>
  </si>
  <si>
    <t>Electrical</t>
  </si>
  <si>
    <t>Total:</t>
  </si>
  <si>
    <t>Baseline</t>
  </si>
  <si>
    <t>Baseline/Forecast/Actual</t>
  </si>
  <si>
    <t>Resource</t>
  </si>
  <si>
    <t>Weekly cost</t>
  </si>
  <si>
    <t>Rate/hr</t>
  </si>
  <si>
    <t>Project name:</t>
  </si>
  <si>
    <t>Client:</t>
  </si>
  <si>
    <t>Project Resource Management Planning</t>
  </si>
  <si>
    <t>Start Date:</t>
  </si>
  <si>
    <t>End Date:</t>
  </si>
  <si>
    <t>-</t>
  </si>
  <si>
    <t>Time Duration:</t>
  </si>
  <si>
    <t>27 weeks</t>
  </si>
  <si>
    <r>
      <t xml:space="preserve">Employee Hours Variance by Week
</t>
    </r>
    <r>
      <rPr>
        <b/>
        <i/>
        <sz val="9"/>
        <rFont val="Arial"/>
        <family val="2"/>
      </rPr>
      <t>Forecast vs. Actual</t>
    </r>
  </si>
  <si>
    <t>Week-Ending: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</si>
</sst>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d\-mmm\-yy;@"/>
    <numFmt numFmtId="165" formatCode="[$-409]mmm\-yy;@"/>
    <numFmt numFmtId="166" formatCode="[$-409]d\-mmm\-yy;@"/>
    <numFmt numFmtId="167" formatCode="0;\-0;&quot;-&quot;;@"/>
    <numFmt numFmtId="168" formatCode="_ [$€-413]\ * #,##0_ ;_ [$€-413]\ * \-#,##0_ ;_ [$€-413]\ * &quot;-&quot;_ ;_ @_ "/>
    <numFmt numFmtId="174" formatCode="_([$€-2]\ * #,##0_);_([$€-2]\ * \(#,##0\);_([$€-2]\ * &quot;-&quot;??_);_(@_)"/>
  </numFmts>
  <fonts count="2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b/>
      <sz val="8"/>
      <color rgb="FFDAD7CD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b/>
      <sz val="10"/>
      <color rgb="FF669F9E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i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7F7"/>
        <bgColor indexed="64"/>
      </patternFill>
    </fill>
    <fill>
      <patternFill patternType="solid">
        <fgColor rgb="FF9BC0BF"/>
        <bgColor indexed="64"/>
      </patternFill>
    </fill>
    <fill>
      <patternFill patternType="solid">
        <fgColor rgb="FFDAD7CD"/>
        <bgColor indexed="64"/>
      </patternFill>
    </fill>
    <fill>
      <patternFill patternType="solid">
        <fgColor rgb="FF669F9E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 tint="0.499984740745262"/>
      </right>
      <top style="thin">
        <color theme="1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/>
      </right>
      <top style="thin">
        <color theme="1"/>
      </top>
      <bottom style="hair">
        <color theme="1" tint="0.499984740745262"/>
      </bottom>
      <diagonal/>
    </border>
    <border>
      <left style="thin">
        <color theme="1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/>
      </left>
      <right style="thin">
        <color theme="1" tint="0.499984740745262"/>
      </right>
      <top style="hair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 style="thin">
        <color theme="1"/>
      </right>
      <top style="hair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 style="thin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65" fontId="3" fillId="0" borderId="0" xfId="0" applyNumberFormat="1" applyFont="1" applyAlignment="1">
      <alignment textRotation="90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/>
    </xf>
    <xf numFmtId="166" fontId="0" fillId="0" borderId="0" xfId="0" applyNumberFormat="1"/>
    <xf numFmtId="166" fontId="1" fillId="0" borderId="0" xfId="0" applyNumberFormat="1" applyFont="1" applyAlignment="1">
      <alignment horizontal="center" vertical="center"/>
    </xf>
    <xf numFmtId="0" fontId="3" fillId="0" borderId="0" xfId="0" applyFont="1"/>
    <xf numFmtId="168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0" fontId="0" fillId="0" borderId="9" xfId="0" applyBorder="1"/>
    <xf numFmtId="0" fontId="0" fillId="0" borderId="8" xfId="0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Continuous" vertical="center" readingOrder="1"/>
    </xf>
    <xf numFmtId="0" fontId="1" fillId="0" borderId="0" xfId="0" applyFont="1" applyAlignment="1">
      <alignment horizontal="centerContinuous" vertical="center" wrapText="1" readingOrder="1"/>
    </xf>
    <xf numFmtId="0" fontId="1" fillId="2" borderId="23" xfId="0" applyFont="1" applyFill="1" applyBorder="1" applyAlignment="1">
      <alignment vertical="center" textRotation="90"/>
    </xf>
    <xf numFmtId="0" fontId="0" fillId="3" borderId="0" xfId="0" applyFill="1"/>
    <xf numFmtId="0" fontId="12" fillId="3" borderId="0" xfId="0" applyFont="1" applyFill="1" applyAlignment="1">
      <alignment horizontal="centerContinuous" vertical="center"/>
    </xf>
    <xf numFmtId="0" fontId="7" fillId="3" borderId="0" xfId="0" applyFont="1" applyFill="1" applyAlignment="1">
      <alignment horizontal="centerContinuous" vertical="center"/>
    </xf>
    <xf numFmtId="166" fontId="2" fillId="3" borderId="0" xfId="0" applyNumberFormat="1" applyFont="1" applyFill="1" applyAlignment="1">
      <alignment horizontal="centerContinuous" vertical="center"/>
    </xf>
    <xf numFmtId="0" fontId="6" fillId="3" borderId="0" xfId="0" applyFont="1" applyFill="1" applyAlignment="1">
      <alignment horizontal="center"/>
    </xf>
    <xf numFmtId="166" fontId="0" fillId="3" borderId="0" xfId="0" applyNumberFormat="1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 wrapText="1"/>
    </xf>
    <xf numFmtId="0" fontId="2" fillId="0" borderId="25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5" fillId="3" borderId="0" xfId="0" applyFont="1" applyFill="1" applyAlignment="1">
      <alignment horizontal="right" vertical="center"/>
    </xf>
    <xf numFmtId="0" fontId="13" fillId="0" borderId="38" xfId="0" applyFont="1" applyBorder="1"/>
    <xf numFmtId="0" fontId="13" fillId="0" borderId="41" xfId="0" applyFont="1" applyBorder="1"/>
    <xf numFmtId="0" fontId="13" fillId="0" borderId="44" xfId="0" applyFont="1" applyBorder="1"/>
    <xf numFmtId="0" fontId="0" fillId="2" borderId="35" xfId="0" applyFill="1" applyBorder="1"/>
    <xf numFmtId="0" fontId="1" fillId="2" borderId="2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3" fillId="0" borderId="45" xfId="0" applyFont="1" applyBorder="1" applyAlignment="1">
      <alignment horizontal="left" vertical="center"/>
    </xf>
    <xf numFmtId="164" fontId="2" fillId="6" borderId="4" xfId="0" applyNumberFormat="1" applyFont="1" applyFill="1" applyBorder="1" applyAlignment="1">
      <alignment vertical="center" textRotation="90"/>
    </xf>
    <xf numFmtId="164" fontId="2" fillId="6" borderId="4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vertical="center" textRotation="90"/>
    </xf>
    <xf numFmtId="0" fontId="3" fillId="0" borderId="48" xfId="0" applyFont="1" applyFill="1" applyBorder="1"/>
    <xf numFmtId="0" fontId="3" fillId="0" borderId="47" xfId="0" applyFont="1" applyFill="1" applyBorder="1"/>
    <xf numFmtId="0" fontId="3" fillId="0" borderId="0" xfId="0" applyFont="1" applyFill="1"/>
    <xf numFmtId="165" fontId="11" fillId="6" borderId="46" xfId="0" applyNumberFormat="1" applyFont="1" applyFill="1" applyBorder="1" applyAlignment="1">
      <alignment horizontal="centerContinuous" vertical="center"/>
    </xf>
    <xf numFmtId="165" fontId="3" fillId="6" borderId="8" xfId="0" applyNumberFormat="1" applyFont="1" applyFill="1" applyBorder="1" applyAlignment="1">
      <alignment horizontal="centerContinuous" vertical="center"/>
    </xf>
    <xf numFmtId="0" fontId="3" fillId="6" borderId="22" xfId="0" applyFont="1" applyFill="1" applyBorder="1" applyAlignment="1">
      <alignment horizontal="centerContinuous" vertical="center"/>
    </xf>
    <xf numFmtId="0" fontId="11" fillId="6" borderId="46" xfId="0" applyFont="1" applyFill="1" applyBorder="1" applyAlignment="1">
      <alignment horizontal="centerContinuous" vertical="center"/>
    </xf>
    <xf numFmtId="165" fontId="11" fillId="6" borderId="8" xfId="0" applyNumberFormat="1" applyFont="1" applyFill="1" applyBorder="1" applyAlignment="1">
      <alignment horizontal="centerContinuous" vertical="center"/>
    </xf>
    <xf numFmtId="0" fontId="11" fillId="6" borderId="22" xfId="0" applyFont="1" applyFill="1" applyBorder="1" applyAlignment="1">
      <alignment horizontal="centerContinuous" vertical="center"/>
    </xf>
    <xf numFmtId="174" fontId="0" fillId="0" borderId="2" xfId="0" applyNumberFormat="1" applyBorder="1" applyAlignment="1">
      <alignment horizontal="center" vertical="center"/>
    </xf>
    <xf numFmtId="164" fontId="15" fillId="6" borderId="22" xfId="0" applyNumberFormat="1" applyFont="1" applyFill="1" applyBorder="1" applyAlignment="1">
      <alignment vertical="center" textRotation="90"/>
    </xf>
    <xf numFmtId="0" fontId="1" fillId="6" borderId="46" xfId="0" applyFont="1" applyFill="1" applyBorder="1" applyAlignment="1">
      <alignment horizontal="center" vertical="center"/>
    </xf>
    <xf numFmtId="164" fontId="4" fillId="0" borderId="17" xfId="0" applyNumberFormat="1" applyFont="1" applyFill="1" applyBorder="1" applyAlignment="1">
      <alignment vertical="center" textRotation="90"/>
    </xf>
    <xf numFmtId="0" fontId="0" fillId="0" borderId="49" xfId="0" applyBorder="1" applyAlignment="1">
      <alignment horizontal="center" vertical="center"/>
    </xf>
    <xf numFmtId="0" fontId="0" fillId="0" borderId="50" xfId="0" applyBorder="1"/>
    <xf numFmtId="0" fontId="0" fillId="0" borderId="50" xfId="0" applyBorder="1" applyAlignment="1">
      <alignment horizontal="center" vertical="center"/>
    </xf>
    <xf numFmtId="174" fontId="0" fillId="0" borderId="50" xfId="0" applyNumberFormat="1" applyBorder="1" applyAlignment="1">
      <alignment horizontal="center" vertical="center"/>
    </xf>
    <xf numFmtId="168" fontId="0" fillId="0" borderId="50" xfId="0" applyNumberFormat="1" applyBorder="1" applyAlignment="1">
      <alignment horizontal="center" vertical="center"/>
    </xf>
    <xf numFmtId="168" fontId="0" fillId="0" borderId="51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/>
    <xf numFmtId="0" fontId="0" fillId="0" borderId="53" xfId="0" applyBorder="1" applyAlignment="1">
      <alignment horizontal="center" vertical="center"/>
    </xf>
    <xf numFmtId="174" fontId="0" fillId="0" borderId="53" xfId="0" applyNumberFormat="1" applyBorder="1" applyAlignment="1">
      <alignment horizontal="center" vertical="center"/>
    </xf>
    <xf numFmtId="168" fontId="0" fillId="0" borderId="53" xfId="0" applyNumberFormat="1" applyBorder="1" applyAlignment="1">
      <alignment horizontal="center" vertical="center"/>
    </xf>
    <xf numFmtId="168" fontId="0" fillId="0" borderId="54" xfId="0" applyNumberFormat="1" applyBorder="1" applyAlignment="1">
      <alignment horizontal="center" vertical="center"/>
    </xf>
    <xf numFmtId="0" fontId="0" fillId="0" borderId="0" xfId="0" applyBorder="1"/>
    <xf numFmtId="0" fontId="0" fillId="0" borderId="48" xfId="0" applyBorder="1" applyAlignment="1">
      <alignment horizontal="center" vertical="center"/>
    </xf>
    <xf numFmtId="168" fontId="0" fillId="0" borderId="48" xfId="0" applyNumberFormat="1" applyBorder="1" applyAlignment="1">
      <alignment horizontal="center" vertical="center"/>
    </xf>
    <xf numFmtId="167" fontId="14" fillId="5" borderId="4" xfId="0" applyNumberFormat="1" applyFont="1" applyFill="1" applyBorder="1" applyAlignment="1">
      <alignment horizontal="center" vertical="center"/>
    </xf>
    <xf numFmtId="0" fontId="14" fillId="5" borderId="46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166" fontId="14" fillId="5" borderId="8" xfId="0" applyNumberFormat="1" applyFont="1" applyFill="1" applyBorder="1" applyAlignment="1">
      <alignment horizontal="center" vertical="center"/>
    </xf>
    <xf numFmtId="167" fontId="14" fillId="5" borderId="8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4" fontId="14" fillId="5" borderId="4" xfId="0" applyNumberFormat="1" applyFont="1" applyFill="1" applyBorder="1" applyAlignment="1">
      <alignment horizontal="center" vertical="center"/>
    </xf>
    <xf numFmtId="174" fontId="14" fillId="5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Continuous" vertical="center"/>
    </xf>
    <xf numFmtId="0" fontId="16" fillId="0" borderId="0" xfId="0" applyFont="1" applyBorder="1" applyAlignment="1">
      <alignment horizontal="centerContinuous" vertical="center" wrapText="1" readingOrder="2"/>
    </xf>
    <xf numFmtId="0" fontId="16" fillId="0" borderId="0" xfId="0" applyFont="1" applyBorder="1" applyAlignment="1">
      <alignment horizontal="centerContinuous" vertical="center" wrapText="1" readingOrder="1"/>
    </xf>
    <xf numFmtId="0" fontId="0" fillId="0" borderId="48" xfId="0" applyBorder="1"/>
    <xf numFmtId="0" fontId="1" fillId="0" borderId="48" xfId="0" applyFont="1" applyBorder="1" applyAlignment="1">
      <alignment horizontal="centerContinuous" vertical="center" wrapText="1" readingOrder="1"/>
    </xf>
    <xf numFmtId="0" fontId="0" fillId="0" borderId="48" xfId="0" applyBorder="1" applyAlignment="1">
      <alignment horizontal="centerContinuous" vertical="center" readingOrder="1"/>
    </xf>
    <xf numFmtId="0" fontId="1" fillId="5" borderId="16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1"/>
    </xf>
    <xf numFmtId="15" fontId="5" fillId="0" borderId="4" xfId="0" applyNumberFormat="1" applyFont="1" applyBorder="1" applyAlignment="1">
      <alignment horizontal="center" vertical="center" wrapText="1" readingOrder="1"/>
    </xf>
    <xf numFmtId="0" fontId="9" fillId="0" borderId="0" xfId="0" applyFont="1" applyBorder="1" applyAlignment="1">
      <alignment vertical="center"/>
    </xf>
    <xf numFmtId="0" fontId="10" fillId="0" borderId="55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/>
    </xf>
    <xf numFmtId="0" fontId="8" fillId="0" borderId="55" xfId="0" applyFont="1" applyBorder="1" applyAlignment="1">
      <alignment vertical="center"/>
    </xf>
    <xf numFmtId="0" fontId="9" fillId="0" borderId="55" xfId="0" applyFont="1" applyBorder="1" applyAlignment="1">
      <alignment vertical="center"/>
    </xf>
    <xf numFmtId="0" fontId="0" fillId="4" borderId="36" xfId="0" applyFont="1" applyFill="1" applyBorder="1" applyAlignment="1">
      <alignment vertical="center"/>
    </xf>
    <xf numFmtId="0" fontId="0" fillId="4" borderId="37" xfId="0" applyFont="1" applyFill="1" applyBorder="1" applyAlignment="1">
      <alignment vertical="center"/>
    </xf>
    <xf numFmtId="0" fontId="0" fillId="0" borderId="37" xfId="0" applyFont="1" applyBorder="1" applyAlignment="1">
      <alignment horizontal="center" vertical="center"/>
    </xf>
    <xf numFmtId="0" fontId="0" fillId="4" borderId="39" xfId="0" applyFont="1" applyFill="1" applyBorder="1" applyAlignment="1">
      <alignment vertical="center"/>
    </xf>
    <xf numFmtId="0" fontId="0" fillId="4" borderId="40" xfId="0" applyFont="1" applyFill="1" applyBorder="1" applyAlignment="1">
      <alignment vertical="center"/>
    </xf>
    <xf numFmtId="0" fontId="0" fillId="0" borderId="40" xfId="0" applyFont="1" applyBorder="1" applyAlignment="1">
      <alignment horizontal="center" vertical="center"/>
    </xf>
    <xf numFmtId="0" fontId="0" fillId="4" borderId="42" xfId="0" applyFont="1" applyFill="1" applyBorder="1" applyAlignment="1">
      <alignment vertical="center"/>
    </xf>
    <xf numFmtId="0" fontId="0" fillId="4" borderId="43" xfId="0" applyFont="1" applyFill="1" applyBorder="1" applyAlignment="1">
      <alignment vertical="center"/>
    </xf>
    <xf numFmtId="0" fontId="0" fillId="0" borderId="43" xfId="0" applyFont="1" applyBorder="1" applyAlignment="1">
      <alignment horizontal="center" vertical="center"/>
    </xf>
    <xf numFmtId="0" fontId="0" fillId="2" borderId="33" xfId="0" applyFont="1" applyFill="1" applyBorder="1"/>
    <xf numFmtId="0" fontId="0" fillId="2" borderId="34" xfId="0" applyFont="1" applyFill="1" applyBorder="1"/>
    <xf numFmtId="0" fontId="18" fillId="0" borderId="5" xfId="0" applyFont="1" applyBorder="1"/>
    <xf numFmtId="3" fontId="18" fillId="0" borderId="10" xfId="0" applyNumberFormat="1" applyFont="1" applyBorder="1" applyAlignment="1">
      <alignment horizontal="center" vertical="center"/>
    </xf>
    <xf numFmtId="168" fontId="18" fillId="0" borderId="11" xfId="0" applyNumberFormat="1" applyFont="1" applyBorder="1" applyAlignment="1">
      <alignment horizontal="center" vertical="center"/>
    </xf>
    <xf numFmtId="0" fontId="18" fillId="0" borderId="6" xfId="0" applyFont="1" applyBorder="1"/>
    <xf numFmtId="3" fontId="18" fillId="0" borderId="12" xfId="0" applyNumberFormat="1" applyFont="1" applyBorder="1" applyAlignment="1">
      <alignment horizontal="center" vertical="center"/>
    </xf>
    <xf numFmtId="168" fontId="18" fillId="0" borderId="13" xfId="0" applyNumberFormat="1" applyFont="1" applyBorder="1" applyAlignment="1">
      <alignment horizontal="center" vertical="center"/>
    </xf>
    <xf numFmtId="0" fontId="18" fillId="0" borderId="19" xfId="0" applyFont="1" applyBorder="1"/>
    <xf numFmtId="3" fontId="18" fillId="0" borderId="20" xfId="0" applyNumberFormat="1" applyFont="1" applyBorder="1" applyAlignment="1">
      <alignment horizontal="center" vertical="center"/>
    </xf>
    <xf numFmtId="168" fontId="18" fillId="0" borderId="21" xfId="0" applyNumberFormat="1" applyFont="1" applyBorder="1" applyAlignment="1">
      <alignment horizontal="center" vertical="center"/>
    </xf>
    <xf numFmtId="0" fontId="18" fillId="0" borderId="7" xfId="0" applyFont="1" applyBorder="1"/>
    <xf numFmtId="3" fontId="18" fillId="0" borderId="14" xfId="0" applyNumberFormat="1" applyFont="1" applyBorder="1" applyAlignment="1">
      <alignment horizontal="center" vertical="center"/>
    </xf>
    <xf numFmtId="168" fontId="18" fillId="0" borderId="15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/>
    </xf>
    <xf numFmtId="168" fontId="5" fillId="2" borderId="4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textRotation="90"/>
    </xf>
    <xf numFmtId="0" fontId="5" fillId="2" borderId="18" xfId="0" applyFont="1" applyFill="1" applyBorder="1" applyAlignment="1">
      <alignment horizontal="center" vertical="center" textRotation="90"/>
    </xf>
    <xf numFmtId="0" fontId="1" fillId="7" borderId="17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vertical="center" textRotation="90"/>
    </xf>
    <xf numFmtId="164" fontId="2" fillId="7" borderId="4" xfId="0" applyNumberFormat="1" applyFont="1" applyFill="1" applyBorder="1" applyAlignment="1">
      <alignment vertical="center" textRotation="90"/>
    </xf>
    <xf numFmtId="164" fontId="2" fillId="7" borderId="4" xfId="0" applyNumberFormat="1" applyFont="1" applyFill="1" applyBorder="1" applyAlignment="1">
      <alignment horizontal="center" vertical="center" wrapText="1"/>
    </xf>
    <xf numFmtId="165" fontId="11" fillId="7" borderId="46" xfId="0" applyNumberFormat="1" applyFont="1" applyFill="1" applyBorder="1" applyAlignment="1">
      <alignment horizontal="centerContinuous" vertical="center" wrapText="1"/>
    </xf>
    <xf numFmtId="165" fontId="11" fillId="7" borderId="8" xfId="0" applyNumberFormat="1" applyFont="1" applyFill="1" applyBorder="1" applyAlignment="1">
      <alignment horizontal="centerContinuous" vertical="center"/>
    </xf>
    <xf numFmtId="0" fontId="11" fillId="7" borderId="22" xfId="0" applyFont="1" applyFill="1" applyBorder="1" applyAlignment="1">
      <alignment horizontal="centerContinuous" vertical="center"/>
    </xf>
    <xf numFmtId="165" fontId="3" fillId="7" borderId="8" xfId="0" applyNumberFormat="1" applyFont="1" applyFill="1" applyBorder="1" applyAlignment="1">
      <alignment horizontal="centerContinuous" vertical="center"/>
    </xf>
    <xf numFmtId="0" fontId="3" fillId="7" borderId="22" xfId="0" applyFont="1" applyFill="1" applyBorder="1" applyAlignment="1">
      <alignment horizontal="centerContinuous" vertical="center"/>
    </xf>
    <xf numFmtId="0" fontId="19" fillId="7" borderId="17" xfId="0" applyFont="1" applyFill="1" applyBorder="1" applyAlignment="1">
      <alignment horizontal="center" vertical="center" textRotation="90" wrapText="1"/>
    </xf>
    <xf numFmtId="0" fontId="20" fillId="7" borderId="4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Continuous" vertical="center" wrapText="1"/>
    </xf>
    <xf numFmtId="0" fontId="22" fillId="7" borderId="8" xfId="0" applyFont="1" applyFill="1" applyBorder="1" applyAlignment="1">
      <alignment horizontal="centerContinuous" vertical="center"/>
    </xf>
    <xf numFmtId="0" fontId="23" fillId="7" borderId="8" xfId="0" applyFont="1" applyFill="1" applyBorder="1" applyAlignment="1">
      <alignment horizontal="centerContinuous" vertical="center"/>
    </xf>
    <xf numFmtId="0" fontId="24" fillId="7" borderId="8" xfId="0" applyFont="1" applyFill="1" applyBorder="1" applyAlignment="1">
      <alignment horizontal="centerContinuous" vertical="center"/>
    </xf>
    <xf numFmtId="0" fontId="0" fillId="7" borderId="8" xfId="0" applyFill="1" applyBorder="1"/>
    <xf numFmtId="0" fontId="0" fillId="7" borderId="22" xfId="0" applyFill="1" applyBorder="1"/>
    <xf numFmtId="0" fontId="14" fillId="7" borderId="46" xfId="0" applyFont="1" applyFill="1" applyBorder="1" applyAlignment="1">
      <alignment horizontal="right" vertical="center" wrapText="1"/>
    </xf>
    <xf numFmtId="166" fontId="26" fillId="7" borderId="8" xfId="0" applyNumberFormat="1" applyFont="1" applyFill="1" applyBorder="1" applyAlignment="1">
      <alignment horizontal="left" vertical="center"/>
    </xf>
    <xf numFmtId="166" fontId="5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4.9989318521683403E-2"/>
      </font>
    </dxf>
    <dxf>
      <fill>
        <patternFill>
          <fgColor theme="0" tint="-4.9989318521683403E-2"/>
          <bgColor theme="0" tint="-4.9989318521683403E-2"/>
        </patternFill>
      </fill>
    </dxf>
    <dxf>
      <font>
        <color theme="0" tint="-4.9989318521683403E-2"/>
      </font>
      <fill>
        <patternFill>
          <fgColor theme="0" tint="-4.9989318521683403E-2"/>
          <bgColor theme="0"/>
        </patternFill>
      </fill>
    </dxf>
    <dxf>
      <fill>
        <patternFill>
          <fgColor theme="0" tint="-4.9989318521683403E-2"/>
          <bgColor theme="0" tint="-4.9989318521683403E-2"/>
        </patternFill>
      </fill>
    </dxf>
    <dxf>
      <font>
        <color theme="0" tint="-4.9989318521683403E-2"/>
      </font>
      <fill>
        <patternFill>
          <fgColor theme="0" tint="-4.9989318521683403E-2"/>
          <bgColor theme="0"/>
        </patternFill>
      </fill>
    </dxf>
    <dxf>
      <fill>
        <patternFill>
          <fgColor theme="0" tint="-4.9989318521683403E-2"/>
          <bgColor theme="0" tint="-4.9989318521683403E-2"/>
        </patternFill>
      </fill>
    </dxf>
    <dxf>
      <font>
        <color theme="0" tint="-4.9989318521683403E-2"/>
      </font>
      <fill>
        <patternFill>
          <fgColor theme="0" tint="-4.9989318521683403E-2"/>
          <bgColor theme="0"/>
        </patternFill>
      </fill>
    </dxf>
    <dxf>
      <fill>
        <patternFill>
          <fgColor theme="0" tint="-4.9989318521683403E-2"/>
          <bgColor theme="0" tint="-4.9989318521683403E-2"/>
        </patternFill>
      </fill>
    </dxf>
    <dxf>
      <font>
        <color theme="0" tint="-4.9989318521683403E-2"/>
      </font>
      <fill>
        <patternFill>
          <fgColor theme="0" tint="-4.9989318521683403E-2"/>
          <bgColor theme="0"/>
        </patternFill>
      </fill>
    </dxf>
    <dxf>
      <fill>
        <patternFill>
          <fgColor theme="0" tint="-4.9989318521683403E-2"/>
          <bgColor theme="0" tint="-4.9989318521683403E-2"/>
        </patternFill>
      </fill>
    </dxf>
    <dxf>
      <font>
        <color theme="0" tint="-4.9989318521683403E-2"/>
      </font>
      <fill>
        <patternFill>
          <fgColor theme="0" tint="-4.9989318521683403E-2"/>
          <bgColor theme="0"/>
        </patternFill>
      </fill>
    </dxf>
  </dxfs>
  <tableStyles count="0" defaultTableStyle="TableStyleMedium2" defaultPivotStyle="PivotStyleLight16"/>
  <colors>
    <mruColors>
      <color rgb="FF669F9E"/>
      <color rgb="FF588B8B"/>
      <color rgb="FF9BC0BF"/>
      <color rgb="FFDAD7CD"/>
      <color rgb="FFF3F7F7"/>
      <color rgb="FF2A9D8F"/>
      <color rgb="FFE0E4DC"/>
      <color rgb="FFFFD5C2"/>
      <color rgb="FF354F52"/>
      <color rgb="FF5279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4636-52C2-442B-AABD-1E283F2984F0}">
  <dimension ref="A1:CE51"/>
  <sheetViews>
    <sheetView tabSelected="1" zoomScaleNormal="100" workbookViewId="0">
      <selection activeCell="A10" sqref="A10"/>
    </sheetView>
  </sheetViews>
  <sheetFormatPr defaultRowHeight="12.75" x14ac:dyDescent="0.2"/>
  <cols>
    <col min="1" max="1" width="14.85546875" customWidth="1"/>
    <col min="2" max="2" width="20" customWidth="1"/>
    <col min="3" max="3" width="24.5703125" bestFit="1" customWidth="1"/>
    <col min="4" max="4" width="22" customWidth="1"/>
    <col min="5" max="5" width="17.28515625" bestFit="1" customWidth="1"/>
    <col min="6" max="6" width="10.5703125" customWidth="1"/>
    <col min="7" max="15" width="4" bestFit="1" customWidth="1"/>
    <col min="16" max="16" width="4.5703125" bestFit="1" customWidth="1"/>
    <col min="17" max="33" width="4" bestFit="1" customWidth="1"/>
    <col min="34" max="34" width="9.42578125" customWidth="1"/>
    <col min="35" max="35" width="1.140625" customWidth="1"/>
    <col min="36" max="41" width="4.42578125" bestFit="1" customWidth="1"/>
    <col min="42" max="42" width="3.5703125" bestFit="1" customWidth="1"/>
    <col min="43" max="43" width="9.42578125" bestFit="1" customWidth="1"/>
    <col min="44" max="44" width="3.28515625" customWidth="1"/>
    <col min="45" max="45" width="7.42578125" customWidth="1"/>
    <col min="46" max="46" width="1.42578125" customWidth="1"/>
    <col min="47" max="73" width="10.28515625" bestFit="1" customWidth="1"/>
    <col min="74" max="74" width="13.5703125" bestFit="1" customWidth="1"/>
    <col min="75" max="75" width="1.140625" customWidth="1"/>
    <col min="76" max="76" width="11.140625" bestFit="1" customWidth="1"/>
    <col min="77" max="82" width="10.28515625" bestFit="1" customWidth="1"/>
    <col min="83" max="83" width="13.7109375" bestFit="1" customWidth="1"/>
  </cols>
  <sheetData>
    <row r="1" spans="1:83" x14ac:dyDescent="0.2">
      <c r="B1" s="17"/>
      <c r="C1" s="16"/>
    </row>
    <row r="2" spans="1:83" ht="18" customHeight="1" x14ac:dyDescent="0.2">
      <c r="A2" s="83" t="s">
        <v>74</v>
      </c>
      <c r="B2" s="84"/>
      <c r="C2" s="84"/>
      <c r="D2" s="84"/>
      <c r="E2" s="82"/>
      <c r="F2" s="82"/>
    </row>
    <row r="3" spans="1:83" x14ac:dyDescent="0.2">
      <c r="A3" s="85"/>
      <c r="B3" s="86"/>
      <c r="C3" s="87"/>
      <c r="D3" s="85"/>
    </row>
    <row r="4" spans="1:83" x14ac:dyDescent="0.2">
      <c r="A4" s="88" t="s">
        <v>72</v>
      </c>
      <c r="B4" s="88" t="s">
        <v>75</v>
      </c>
      <c r="C4" s="88" t="s">
        <v>76</v>
      </c>
      <c r="D4" s="88" t="s">
        <v>78</v>
      </c>
      <c r="E4" s="88" t="s">
        <v>73</v>
      </c>
      <c r="F4" s="88" t="s">
        <v>24</v>
      </c>
    </row>
    <row r="5" spans="1:83" x14ac:dyDescent="0.2">
      <c r="A5" s="89" t="s">
        <v>77</v>
      </c>
      <c r="B5" s="91">
        <v>46024</v>
      </c>
      <c r="C5" s="91">
        <v>46206</v>
      </c>
      <c r="D5" s="90" t="s">
        <v>79</v>
      </c>
      <c r="E5" s="89" t="s">
        <v>77</v>
      </c>
      <c r="F5" s="148">
        <v>46108</v>
      </c>
    </row>
    <row r="6" spans="1:83" x14ac:dyDescent="0.2">
      <c r="B6" s="6"/>
    </row>
    <row r="7" spans="1:83" ht="24" hidden="1" customHeight="1" x14ac:dyDescent="0.2">
      <c r="B7" s="6"/>
      <c r="C7" s="8"/>
      <c r="E7" s="93" t="s">
        <v>54</v>
      </c>
      <c r="F7" s="94" t="s">
        <v>36</v>
      </c>
      <c r="G7" s="95">
        <v>32</v>
      </c>
      <c r="H7" s="95">
        <v>40</v>
      </c>
      <c r="I7" s="95">
        <v>40</v>
      </c>
      <c r="J7" s="95">
        <v>40</v>
      </c>
      <c r="K7" s="95">
        <v>40</v>
      </c>
      <c r="L7" s="95">
        <v>40</v>
      </c>
      <c r="M7" s="96">
        <v>40</v>
      </c>
      <c r="N7" s="96">
        <v>40</v>
      </c>
      <c r="O7" s="96">
        <v>40</v>
      </c>
      <c r="P7" s="96">
        <v>40</v>
      </c>
      <c r="Q7" s="96">
        <v>32</v>
      </c>
      <c r="R7" s="96">
        <v>40</v>
      </c>
      <c r="S7" s="96">
        <v>40</v>
      </c>
      <c r="T7" s="96">
        <v>32</v>
      </c>
      <c r="U7" s="96">
        <v>32</v>
      </c>
      <c r="V7" s="96">
        <v>40</v>
      </c>
      <c r="W7" s="96">
        <v>40</v>
      </c>
      <c r="X7" s="96">
        <v>32</v>
      </c>
      <c r="Y7" s="96">
        <v>40</v>
      </c>
      <c r="Z7" s="96">
        <v>32</v>
      </c>
      <c r="AA7" s="96">
        <v>40</v>
      </c>
      <c r="AB7" s="96">
        <v>32</v>
      </c>
      <c r="AC7" s="96">
        <v>40</v>
      </c>
      <c r="AD7" s="96">
        <v>40</v>
      </c>
      <c r="AE7" s="96">
        <v>40</v>
      </c>
      <c r="AF7" s="96">
        <v>40</v>
      </c>
      <c r="AG7" s="96">
        <v>40</v>
      </c>
      <c r="AH7" s="92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83" s="9" customFormat="1" ht="32.25" hidden="1" x14ac:dyDescent="0.2">
      <c r="G8" s="4">
        <f>+DATE(YEAR(G10),MONTH(G10),1)</f>
        <v>46023</v>
      </c>
      <c r="H8" s="4">
        <f t="shared" ref="H8:AG8" si="0">+DATE(YEAR(H10),MONTH(H10),1)</f>
        <v>46023</v>
      </c>
      <c r="I8" s="4">
        <f t="shared" si="0"/>
        <v>46023</v>
      </c>
      <c r="J8" s="4">
        <f t="shared" si="0"/>
        <v>46023</v>
      </c>
      <c r="K8" s="4">
        <f t="shared" si="0"/>
        <v>46023</v>
      </c>
      <c r="L8" s="4">
        <f t="shared" si="0"/>
        <v>46054</v>
      </c>
      <c r="M8" s="4">
        <f t="shared" si="0"/>
        <v>46054</v>
      </c>
      <c r="N8" s="4">
        <f t="shared" si="0"/>
        <v>46054</v>
      </c>
      <c r="O8" s="4">
        <f t="shared" si="0"/>
        <v>46054</v>
      </c>
      <c r="P8" s="4">
        <f t="shared" si="0"/>
        <v>46082</v>
      </c>
      <c r="Q8" s="4">
        <f t="shared" si="0"/>
        <v>46082</v>
      </c>
      <c r="R8" s="4">
        <f t="shared" si="0"/>
        <v>46082</v>
      </c>
      <c r="S8" s="4">
        <f t="shared" si="0"/>
        <v>46082</v>
      </c>
      <c r="T8" s="4">
        <f t="shared" si="0"/>
        <v>46113</v>
      </c>
      <c r="U8" s="4">
        <f t="shared" si="0"/>
        <v>46113</v>
      </c>
      <c r="V8" s="4">
        <f t="shared" si="0"/>
        <v>46113</v>
      </c>
      <c r="W8" s="4">
        <f t="shared" si="0"/>
        <v>46113</v>
      </c>
      <c r="X8" s="4">
        <f t="shared" si="0"/>
        <v>46143</v>
      </c>
      <c r="Y8" s="4">
        <f t="shared" si="0"/>
        <v>46143</v>
      </c>
      <c r="Z8" s="4">
        <f t="shared" si="0"/>
        <v>46143</v>
      </c>
      <c r="AA8" s="4">
        <f t="shared" si="0"/>
        <v>46143</v>
      </c>
      <c r="AB8" s="4">
        <f t="shared" si="0"/>
        <v>46143</v>
      </c>
      <c r="AC8" s="4">
        <f t="shared" si="0"/>
        <v>46174</v>
      </c>
      <c r="AD8" s="4">
        <f t="shared" si="0"/>
        <v>46174</v>
      </c>
      <c r="AE8" s="4">
        <f t="shared" si="0"/>
        <v>46174</v>
      </c>
      <c r="AF8" s="4">
        <f t="shared" si="0"/>
        <v>46174</v>
      </c>
      <c r="AG8" s="4">
        <f t="shared" si="0"/>
        <v>46204</v>
      </c>
      <c r="AJ8" s="4">
        <f>+DATE(YEAR(AJ10),MONTH(AJ10),1)</f>
        <v>46023</v>
      </c>
      <c r="AK8" s="4">
        <f t="shared" ref="AK8:AP8" si="1">+DATE(YEAR(AK10),MONTH(AK10),1)</f>
        <v>46054</v>
      </c>
      <c r="AL8" s="4">
        <f t="shared" si="1"/>
        <v>46082</v>
      </c>
      <c r="AM8" s="4">
        <f t="shared" si="1"/>
        <v>46113</v>
      </c>
      <c r="AN8" s="4">
        <f t="shared" si="1"/>
        <v>46143</v>
      </c>
      <c r="AO8" s="4">
        <f t="shared" si="1"/>
        <v>46174</v>
      </c>
      <c r="AP8" s="4">
        <f t="shared" si="1"/>
        <v>46204</v>
      </c>
      <c r="AU8" s="4">
        <f>+DATE(YEAR(AU10),MONTH(AU10),1)</f>
        <v>46023</v>
      </c>
      <c r="AV8" s="4">
        <f t="shared" ref="AV8:BU8" si="2">+DATE(YEAR(AV10),MONTH(AV10),1)</f>
        <v>46023</v>
      </c>
      <c r="AW8" s="4">
        <f t="shared" si="2"/>
        <v>46023</v>
      </c>
      <c r="AX8" s="4">
        <f t="shared" si="2"/>
        <v>46023</v>
      </c>
      <c r="AY8" s="4">
        <f t="shared" si="2"/>
        <v>46023</v>
      </c>
      <c r="AZ8" s="4">
        <f t="shared" si="2"/>
        <v>46054</v>
      </c>
      <c r="BA8" s="4">
        <f t="shared" si="2"/>
        <v>46054</v>
      </c>
      <c r="BB8" s="4">
        <f t="shared" si="2"/>
        <v>46054</v>
      </c>
      <c r="BC8" s="4">
        <f t="shared" si="2"/>
        <v>46054</v>
      </c>
      <c r="BD8" s="4">
        <f t="shared" si="2"/>
        <v>46082</v>
      </c>
      <c r="BE8" s="4">
        <f t="shared" si="2"/>
        <v>46082</v>
      </c>
      <c r="BF8" s="4">
        <f t="shared" si="2"/>
        <v>46082</v>
      </c>
      <c r="BG8" s="4">
        <f t="shared" si="2"/>
        <v>46082</v>
      </c>
      <c r="BH8" s="4">
        <f t="shared" si="2"/>
        <v>46113</v>
      </c>
      <c r="BI8" s="4">
        <f t="shared" si="2"/>
        <v>46113</v>
      </c>
      <c r="BJ8" s="4">
        <f t="shared" si="2"/>
        <v>46113</v>
      </c>
      <c r="BK8" s="4">
        <f t="shared" si="2"/>
        <v>46113</v>
      </c>
      <c r="BL8" s="4">
        <f t="shared" si="2"/>
        <v>46143</v>
      </c>
      <c r="BM8" s="4">
        <f t="shared" si="2"/>
        <v>46143</v>
      </c>
      <c r="BN8" s="4">
        <f t="shared" si="2"/>
        <v>46143</v>
      </c>
      <c r="BO8" s="4">
        <f t="shared" si="2"/>
        <v>46143</v>
      </c>
      <c r="BP8" s="4">
        <f t="shared" si="2"/>
        <v>46143</v>
      </c>
      <c r="BQ8" s="4">
        <f t="shared" si="2"/>
        <v>46174</v>
      </c>
      <c r="BR8" s="4">
        <f t="shared" si="2"/>
        <v>46174</v>
      </c>
      <c r="BS8" s="4">
        <f t="shared" si="2"/>
        <v>46174</v>
      </c>
      <c r="BT8" s="4">
        <f t="shared" si="2"/>
        <v>46174</v>
      </c>
      <c r="BU8" s="4">
        <f t="shared" si="2"/>
        <v>46204</v>
      </c>
      <c r="BX8" s="4">
        <f t="shared" ref="BX8" si="3">+DATE(YEAR(BX10),MONTH(BX10),1)</f>
        <v>46023</v>
      </c>
      <c r="BY8" s="4">
        <f t="shared" ref="BY8" si="4">+DATE(YEAR(BY10),MONTH(BY10),1)</f>
        <v>46054</v>
      </c>
      <c r="BZ8" s="4">
        <f t="shared" ref="BZ8" si="5">+DATE(YEAR(BZ10),MONTH(BZ10),1)</f>
        <v>46082</v>
      </c>
      <c r="CA8" s="4">
        <f t="shared" ref="CA8" si="6">+DATE(YEAR(CA10),MONTH(CA10),1)</f>
        <v>46113</v>
      </c>
      <c r="CB8" s="4">
        <f t="shared" ref="CB8" si="7">+DATE(YEAR(CB10),MONTH(CB10),1)</f>
        <v>46143</v>
      </c>
      <c r="CC8" s="4">
        <f t="shared" ref="CC8" si="8">+DATE(YEAR(CC10),MONTH(CC10),1)</f>
        <v>46174</v>
      </c>
      <c r="CD8" s="4">
        <f t="shared" ref="CD8" si="9">+DATE(YEAR(CD10),MONTH(CD10),1)</f>
        <v>46204</v>
      </c>
    </row>
    <row r="9" spans="1:83" s="9" customFormat="1" ht="15" x14ac:dyDescent="0.2">
      <c r="A9" s="46"/>
      <c r="B9" s="46"/>
      <c r="C9" s="46"/>
      <c r="D9" s="46"/>
      <c r="E9" s="46"/>
      <c r="F9" s="47"/>
      <c r="G9" s="130" t="s">
        <v>3</v>
      </c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2"/>
      <c r="AI9" s="48"/>
      <c r="AJ9" s="130" t="s">
        <v>4</v>
      </c>
      <c r="AK9" s="133"/>
      <c r="AL9" s="133"/>
      <c r="AM9" s="133"/>
      <c r="AN9" s="133"/>
      <c r="AO9" s="133"/>
      <c r="AP9" s="133"/>
      <c r="AQ9" s="134"/>
      <c r="AU9" s="49" t="s">
        <v>70</v>
      </c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1"/>
      <c r="BX9" s="52" t="s">
        <v>23</v>
      </c>
      <c r="BY9" s="53"/>
      <c r="BZ9" s="53"/>
      <c r="CA9" s="53"/>
      <c r="CB9" s="53"/>
      <c r="CC9" s="53"/>
      <c r="CD9" s="53"/>
      <c r="CE9" s="54"/>
    </row>
    <row r="10" spans="1:83" s="5" customFormat="1" ht="66" customHeight="1" x14ac:dyDescent="0.2">
      <c r="A10" s="125" t="s">
        <v>68</v>
      </c>
      <c r="B10" s="126" t="s">
        <v>69</v>
      </c>
      <c r="C10" s="126" t="s">
        <v>0</v>
      </c>
      <c r="D10" s="126" t="s">
        <v>1</v>
      </c>
      <c r="E10" s="126" t="s">
        <v>15</v>
      </c>
      <c r="F10" s="135" t="s">
        <v>20</v>
      </c>
      <c r="G10" s="127">
        <v>46024</v>
      </c>
      <c r="H10" s="128">
        <f>+G10+7</f>
        <v>46031</v>
      </c>
      <c r="I10" s="128">
        <f t="shared" ref="I10:AG10" si="10">+H10+7</f>
        <v>46038</v>
      </c>
      <c r="J10" s="128">
        <f t="shared" si="10"/>
        <v>46045</v>
      </c>
      <c r="K10" s="128">
        <f t="shared" si="10"/>
        <v>46052</v>
      </c>
      <c r="L10" s="128">
        <f t="shared" si="10"/>
        <v>46059</v>
      </c>
      <c r="M10" s="128">
        <f t="shared" si="10"/>
        <v>46066</v>
      </c>
      <c r="N10" s="128">
        <f t="shared" si="10"/>
        <v>46073</v>
      </c>
      <c r="O10" s="128">
        <f t="shared" si="10"/>
        <v>46080</v>
      </c>
      <c r="P10" s="128">
        <f t="shared" si="10"/>
        <v>46087</v>
      </c>
      <c r="Q10" s="128">
        <f t="shared" si="10"/>
        <v>46094</v>
      </c>
      <c r="R10" s="128">
        <f t="shared" si="10"/>
        <v>46101</v>
      </c>
      <c r="S10" s="128">
        <f t="shared" si="10"/>
        <v>46108</v>
      </c>
      <c r="T10" s="128">
        <f t="shared" si="10"/>
        <v>46115</v>
      </c>
      <c r="U10" s="128">
        <f t="shared" si="10"/>
        <v>46122</v>
      </c>
      <c r="V10" s="128">
        <f t="shared" si="10"/>
        <v>46129</v>
      </c>
      <c r="W10" s="128">
        <f t="shared" si="10"/>
        <v>46136</v>
      </c>
      <c r="X10" s="128">
        <f t="shared" si="10"/>
        <v>46143</v>
      </c>
      <c r="Y10" s="128">
        <f t="shared" si="10"/>
        <v>46150</v>
      </c>
      <c r="Z10" s="128">
        <f t="shared" si="10"/>
        <v>46157</v>
      </c>
      <c r="AA10" s="128">
        <f t="shared" si="10"/>
        <v>46164</v>
      </c>
      <c r="AB10" s="128">
        <f t="shared" si="10"/>
        <v>46171</v>
      </c>
      <c r="AC10" s="128">
        <f t="shared" si="10"/>
        <v>46178</v>
      </c>
      <c r="AD10" s="128">
        <f t="shared" si="10"/>
        <v>46185</v>
      </c>
      <c r="AE10" s="128">
        <f t="shared" si="10"/>
        <v>46192</v>
      </c>
      <c r="AF10" s="128">
        <f t="shared" si="10"/>
        <v>46199</v>
      </c>
      <c r="AG10" s="128">
        <f t="shared" si="10"/>
        <v>46206</v>
      </c>
      <c r="AH10" s="129" t="s">
        <v>19</v>
      </c>
      <c r="AI10" s="58" t="s">
        <v>20</v>
      </c>
      <c r="AJ10" s="128">
        <v>46052</v>
      </c>
      <c r="AK10" s="128">
        <v>46080</v>
      </c>
      <c r="AL10" s="128">
        <v>46108</v>
      </c>
      <c r="AM10" s="128">
        <v>46136</v>
      </c>
      <c r="AN10" s="128">
        <v>46171</v>
      </c>
      <c r="AO10" s="128">
        <v>46199</v>
      </c>
      <c r="AP10" s="128">
        <v>46206</v>
      </c>
      <c r="AQ10" s="129" t="s">
        <v>19</v>
      </c>
      <c r="AR10" s="45" t="s">
        <v>20</v>
      </c>
      <c r="AS10" s="57" t="s">
        <v>71</v>
      </c>
      <c r="AT10" s="56" t="s">
        <v>20</v>
      </c>
      <c r="AU10" s="43">
        <v>46024</v>
      </c>
      <c r="AV10" s="43">
        <f>+AU10+7</f>
        <v>46031</v>
      </c>
      <c r="AW10" s="43">
        <f t="shared" ref="AW10:BU10" si="11">+AV10+7</f>
        <v>46038</v>
      </c>
      <c r="AX10" s="43">
        <f t="shared" si="11"/>
        <v>46045</v>
      </c>
      <c r="AY10" s="43">
        <f t="shared" si="11"/>
        <v>46052</v>
      </c>
      <c r="AZ10" s="43">
        <f t="shared" si="11"/>
        <v>46059</v>
      </c>
      <c r="BA10" s="43">
        <f t="shared" si="11"/>
        <v>46066</v>
      </c>
      <c r="BB10" s="43">
        <f t="shared" si="11"/>
        <v>46073</v>
      </c>
      <c r="BC10" s="43">
        <f t="shared" si="11"/>
        <v>46080</v>
      </c>
      <c r="BD10" s="43">
        <f t="shared" si="11"/>
        <v>46087</v>
      </c>
      <c r="BE10" s="43">
        <f t="shared" si="11"/>
        <v>46094</v>
      </c>
      <c r="BF10" s="43">
        <f t="shared" si="11"/>
        <v>46101</v>
      </c>
      <c r="BG10" s="43">
        <f t="shared" si="11"/>
        <v>46108</v>
      </c>
      <c r="BH10" s="43">
        <f t="shared" si="11"/>
        <v>46115</v>
      </c>
      <c r="BI10" s="43">
        <f t="shared" si="11"/>
        <v>46122</v>
      </c>
      <c r="BJ10" s="43">
        <f t="shared" si="11"/>
        <v>46129</v>
      </c>
      <c r="BK10" s="43">
        <f t="shared" si="11"/>
        <v>46136</v>
      </c>
      <c r="BL10" s="43">
        <f t="shared" si="11"/>
        <v>46143</v>
      </c>
      <c r="BM10" s="43">
        <f t="shared" si="11"/>
        <v>46150</v>
      </c>
      <c r="BN10" s="43">
        <f t="shared" si="11"/>
        <v>46157</v>
      </c>
      <c r="BO10" s="43">
        <f t="shared" si="11"/>
        <v>46164</v>
      </c>
      <c r="BP10" s="43">
        <f t="shared" si="11"/>
        <v>46171</v>
      </c>
      <c r="BQ10" s="43">
        <f t="shared" si="11"/>
        <v>46178</v>
      </c>
      <c r="BR10" s="43">
        <f t="shared" si="11"/>
        <v>46185</v>
      </c>
      <c r="BS10" s="43">
        <f t="shared" si="11"/>
        <v>46192</v>
      </c>
      <c r="BT10" s="43">
        <f t="shared" si="11"/>
        <v>46199</v>
      </c>
      <c r="BU10" s="43">
        <f t="shared" si="11"/>
        <v>46206</v>
      </c>
      <c r="BV10" s="44" t="s">
        <v>22</v>
      </c>
      <c r="BW10" s="58" t="s">
        <v>20</v>
      </c>
      <c r="BX10" s="43">
        <v>46052</v>
      </c>
      <c r="BY10" s="43">
        <v>46080</v>
      </c>
      <c r="BZ10" s="43">
        <v>46108</v>
      </c>
      <c r="CA10" s="43">
        <v>46136</v>
      </c>
      <c r="CB10" s="43">
        <v>46171</v>
      </c>
      <c r="CC10" s="43">
        <v>46199</v>
      </c>
      <c r="CD10" s="43">
        <v>46206</v>
      </c>
      <c r="CE10" s="44" t="s">
        <v>22</v>
      </c>
    </row>
    <row r="11" spans="1:83" x14ac:dyDescent="0.2">
      <c r="A11" s="1" t="s">
        <v>67</v>
      </c>
      <c r="B11" s="3" t="s">
        <v>37</v>
      </c>
      <c r="C11" s="3" t="s">
        <v>7</v>
      </c>
      <c r="D11" s="3" t="s">
        <v>60</v>
      </c>
      <c r="E11" s="3" t="s">
        <v>6</v>
      </c>
      <c r="F11" s="3"/>
      <c r="G11" s="2">
        <v>32</v>
      </c>
      <c r="H11" s="2">
        <v>40</v>
      </c>
      <c r="I11" s="2">
        <v>40</v>
      </c>
      <c r="J11" s="2">
        <v>40</v>
      </c>
      <c r="K11" s="2">
        <v>40</v>
      </c>
      <c r="L11" s="2">
        <v>40</v>
      </c>
      <c r="M11" s="2">
        <v>40</v>
      </c>
      <c r="N11" s="2">
        <v>40</v>
      </c>
      <c r="O11" s="2">
        <v>40</v>
      </c>
      <c r="P11" s="2">
        <v>40</v>
      </c>
      <c r="Q11" s="2">
        <v>32</v>
      </c>
      <c r="R11" s="2">
        <v>40</v>
      </c>
      <c r="S11" s="2">
        <v>40</v>
      </c>
      <c r="T11" s="2">
        <v>32</v>
      </c>
      <c r="U11" s="2">
        <v>32</v>
      </c>
      <c r="V11" s="2">
        <v>40</v>
      </c>
      <c r="W11" s="2">
        <v>40</v>
      </c>
      <c r="X11" s="2">
        <v>32</v>
      </c>
      <c r="Y11" s="2">
        <v>40</v>
      </c>
      <c r="Z11" s="2">
        <v>32</v>
      </c>
      <c r="AA11" s="2">
        <v>40</v>
      </c>
      <c r="AB11" s="2">
        <v>32</v>
      </c>
      <c r="AC11" s="2">
        <v>40</v>
      </c>
      <c r="AD11" s="2">
        <v>40</v>
      </c>
      <c r="AE11" s="2">
        <v>40</v>
      </c>
      <c r="AF11" s="2">
        <v>40</v>
      </c>
      <c r="AG11" s="2">
        <v>40</v>
      </c>
      <c r="AH11" s="2">
        <f>+SUM(G11:AG11)</f>
        <v>1024</v>
      </c>
      <c r="AI11" s="2"/>
      <c r="AJ11" s="2">
        <f>+SUMIF($G$8:$AG$8,AJ$8,$G11:$AG11)</f>
        <v>192</v>
      </c>
      <c r="AK11" s="2">
        <f>+SUMIF($G$8:$AG$8,AK$8,$G11:$AG11)</f>
        <v>160</v>
      </c>
      <c r="AL11" s="2">
        <f>+SUMIF($G$8:$AG$8,AL$8,$G11:$AG11)</f>
        <v>152</v>
      </c>
      <c r="AM11" s="2">
        <f>+SUMIF($G$8:$AG$8,AM$8,$G11:$AG11)</f>
        <v>144</v>
      </c>
      <c r="AN11" s="2">
        <f>+SUMIF($G$8:$AG$8,AN$8,$G11:$AG11)</f>
        <v>176</v>
      </c>
      <c r="AO11" s="2">
        <f>+SUMIF($G$8:$AG$8,AO$8,$G11:$AG11)</f>
        <v>160</v>
      </c>
      <c r="AP11" s="2">
        <f>+SUMIF($G$8:$AG$8,AP$8,$G11:$AG11)</f>
        <v>40</v>
      </c>
      <c r="AQ11" s="2">
        <f>+SUM(AJ11:AP11)</f>
        <v>1024</v>
      </c>
      <c r="AR11" s="2"/>
      <c r="AS11" s="55">
        <v>100</v>
      </c>
      <c r="AT11" s="2"/>
      <c r="AU11" s="10">
        <f>+IF(G11&lt;&gt;"",$AS11*G11,0)</f>
        <v>3200</v>
      </c>
      <c r="AV11" s="10">
        <f>+IF(H11&lt;&gt;"",$AS11*H11,0)</f>
        <v>4000</v>
      </c>
      <c r="AW11" s="10">
        <f>+IF(I11&lt;&gt;"",$AS11*I11,0)</f>
        <v>4000</v>
      </c>
      <c r="AX11" s="10">
        <f>+IF(J11&lt;&gt;"",$AS11*J11,0)</f>
        <v>4000</v>
      </c>
      <c r="AY11" s="10">
        <f>+IF(K11&lt;&gt;"",$AS11*K11,0)</f>
        <v>4000</v>
      </c>
      <c r="AZ11" s="10">
        <f>+IF(L11&lt;&gt;"",$AS11*L11,0)</f>
        <v>4000</v>
      </c>
      <c r="BA11" s="10">
        <f>+IF(M11&lt;&gt;"",$AS11*M11,0)</f>
        <v>4000</v>
      </c>
      <c r="BB11" s="10">
        <f>+IF(N11&lt;&gt;"",$AS11*N11,0)</f>
        <v>4000</v>
      </c>
      <c r="BC11" s="10">
        <f>+IF(O11&lt;&gt;"",$AS11*O11,0)</f>
        <v>4000</v>
      </c>
      <c r="BD11" s="10">
        <f>+IF(P11&lt;&gt;"",$AS11*P11,0)</f>
        <v>4000</v>
      </c>
      <c r="BE11" s="10">
        <f>+IF(Q11&lt;&gt;"",$AS11*Q11,0)</f>
        <v>3200</v>
      </c>
      <c r="BF11" s="10">
        <f>+IF(R11&lt;&gt;"",$AS11*R11,0)</f>
        <v>4000</v>
      </c>
      <c r="BG11" s="10">
        <f>+IF(S11&lt;&gt;"",$AS11*S11,0)</f>
        <v>4000</v>
      </c>
      <c r="BH11" s="10">
        <f>+IF(T11&lt;&gt;"",$AS11*T11,0)</f>
        <v>3200</v>
      </c>
      <c r="BI11" s="10">
        <f>+IF(U11&lt;&gt;"",$AS11*U11,0)</f>
        <v>3200</v>
      </c>
      <c r="BJ11" s="10">
        <f>+IF(V11&lt;&gt;"",$AS11*V11,0)</f>
        <v>4000</v>
      </c>
      <c r="BK11" s="10">
        <f>+IF(W11&lt;&gt;"",$AS11*W11,0)</f>
        <v>4000</v>
      </c>
      <c r="BL11" s="10">
        <f>+IF(X11&lt;&gt;"",$AS11*X11,0)</f>
        <v>3200</v>
      </c>
      <c r="BM11" s="10">
        <f>+IF(Y11&lt;&gt;"",$AS11*Y11,0)</f>
        <v>4000</v>
      </c>
      <c r="BN11" s="10">
        <f>+IF(Z11&lt;&gt;"",$AS11*Z11,0)</f>
        <v>3200</v>
      </c>
      <c r="BO11" s="10">
        <f>+IF(AA11&lt;&gt;"",$AS11*AA11,0)</f>
        <v>4000</v>
      </c>
      <c r="BP11" s="10">
        <f>+IF(AB11&lt;&gt;"",$AS11*AB11,0)</f>
        <v>3200</v>
      </c>
      <c r="BQ11" s="10">
        <f>+IF(AC11&lt;&gt;"",$AS11*AC11,0)</f>
        <v>4000</v>
      </c>
      <c r="BR11" s="10">
        <f>+IF(AD11&lt;&gt;"",$AS11*AD11,0)</f>
        <v>4000</v>
      </c>
      <c r="BS11" s="10">
        <f>+IF(AE11&lt;&gt;"",$AS11*AE11,0)</f>
        <v>4000</v>
      </c>
      <c r="BT11" s="10">
        <f>+IF(AF11&lt;&gt;"",$AS11*AF11,0)</f>
        <v>4000</v>
      </c>
      <c r="BU11" s="10">
        <f>+IF(AG11&lt;&gt;"",$AS11*AG11,0)</f>
        <v>4000</v>
      </c>
      <c r="BV11" s="10">
        <f>+SUM(AU11:BU11)</f>
        <v>102400</v>
      </c>
      <c r="BW11" s="10"/>
      <c r="BX11" s="10">
        <f>+SUMIF($AU$8:$BU$8,BX$8,$AU11:$BU11)</f>
        <v>19200</v>
      </c>
      <c r="BY11" s="10">
        <f>+SUMIF($AU$8:$BU$8,BY$8,$AU11:$BU11)</f>
        <v>16000</v>
      </c>
      <c r="BZ11" s="10">
        <f>+SUMIF($AU$8:$BU$8,BZ$8,$AU11:$BU11)</f>
        <v>15200</v>
      </c>
      <c r="CA11" s="10">
        <f>+SUMIF($AU$8:$BU$8,CA$8,$AU11:$BU11)</f>
        <v>14400</v>
      </c>
      <c r="CB11" s="10">
        <f>+SUMIF($AU$8:$BU$8,CB$8,$AU11:$BU11)</f>
        <v>17600</v>
      </c>
      <c r="CC11" s="10">
        <f>+SUMIF($AU$8:$BU$8,CC$8,$AU11:$BU11)</f>
        <v>16000</v>
      </c>
      <c r="CD11" s="10">
        <f>+SUMIF($AU$8:$BU$8,CD$8,$AU11:$BU11)</f>
        <v>4000</v>
      </c>
      <c r="CE11" s="11">
        <f>+SUM(BX11:CD11)</f>
        <v>102400</v>
      </c>
    </row>
    <row r="12" spans="1:83" x14ac:dyDescent="0.2">
      <c r="A12" s="1" t="s">
        <v>67</v>
      </c>
      <c r="B12" s="3" t="s">
        <v>38</v>
      </c>
      <c r="C12" s="3" t="s">
        <v>8</v>
      </c>
      <c r="D12" s="3" t="s">
        <v>61</v>
      </c>
      <c r="E12" s="3" t="s">
        <v>6</v>
      </c>
      <c r="F12" s="3"/>
      <c r="G12" s="2">
        <v>32</v>
      </c>
      <c r="H12" s="2">
        <v>40</v>
      </c>
      <c r="I12" s="2">
        <v>40</v>
      </c>
      <c r="J12" s="2">
        <v>40</v>
      </c>
      <c r="K12" s="2">
        <v>40</v>
      </c>
      <c r="L12" s="2">
        <v>40</v>
      </c>
      <c r="M12" s="2">
        <v>40</v>
      </c>
      <c r="N12" s="2">
        <v>40</v>
      </c>
      <c r="O12" s="2">
        <v>40</v>
      </c>
      <c r="P12" s="2">
        <v>40</v>
      </c>
      <c r="Q12" s="2">
        <v>32</v>
      </c>
      <c r="R12" s="2">
        <v>40</v>
      </c>
      <c r="S12" s="2">
        <v>40</v>
      </c>
      <c r="T12" s="2">
        <v>32</v>
      </c>
      <c r="U12" s="2">
        <v>32</v>
      </c>
      <c r="V12" s="2">
        <v>40</v>
      </c>
      <c r="W12" s="2">
        <v>20</v>
      </c>
      <c r="X12" s="2">
        <v>12</v>
      </c>
      <c r="Y12" s="2">
        <v>20</v>
      </c>
      <c r="Z12" s="2">
        <v>12</v>
      </c>
      <c r="AA12" s="2">
        <v>20</v>
      </c>
      <c r="AB12" s="2">
        <v>12</v>
      </c>
      <c r="AC12" s="2">
        <v>20</v>
      </c>
      <c r="AD12" s="2">
        <v>20</v>
      </c>
      <c r="AE12" s="2">
        <v>20</v>
      </c>
      <c r="AF12" s="2">
        <v>20</v>
      </c>
      <c r="AG12" s="2">
        <v>20</v>
      </c>
      <c r="AH12" s="2">
        <f>+SUM(G12:AG12)</f>
        <v>804</v>
      </c>
      <c r="AI12" s="2"/>
      <c r="AJ12" s="2">
        <f>+SUMIF($G$8:$AG$8,AJ$8,$G12:$AG12)</f>
        <v>192</v>
      </c>
      <c r="AK12" s="2">
        <f>+SUMIF($G$8:$AG$8,AK$8,$G12:$AG12)</f>
        <v>160</v>
      </c>
      <c r="AL12" s="2">
        <f>+SUMIF($G$8:$AG$8,AL$8,$G12:$AG12)</f>
        <v>152</v>
      </c>
      <c r="AM12" s="2">
        <f>+SUMIF($G$8:$AG$8,AM$8,$G12:$AG12)</f>
        <v>124</v>
      </c>
      <c r="AN12" s="2">
        <f>+SUMIF($G$8:$AG$8,AN$8,$G12:$AG12)</f>
        <v>76</v>
      </c>
      <c r="AO12" s="2">
        <f>+SUMIF($G$8:$AG$8,AO$8,$G12:$AG12)</f>
        <v>80</v>
      </c>
      <c r="AP12" s="2">
        <f>+SUMIF($G$8:$AG$8,AP$8,$G12:$AG12)</f>
        <v>20</v>
      </c>
      <c r="AQ12" s="2">
        <f>+SUM(AJ12:AP12)</f>
        <v>804</v>
      </c>
      <c r="AR12" s="2"/>
      <c r="AS12" s="55">
        <v>50</v>
      </c>
      <c r="AT12" s="2"/>
      <c r="AU12" s="10">
        <f>+IF(G12&lt;&gt;"",$AS12*G12,0)</f>
        <v>1600</v>
      </c>
      <c r="AV12" s="10">
        <f>+IF(H12&lt;&gt;"",$AS12*H12,0)</f>
        <v>2000</v>
      </c>
      <c r="AW12" s="10">
        <f>+IF(I12&lt;&gt;"",$AS12*I12,0)</f>
        <v>2000</v>
      </c>
      <c r="AX12" s="10">
        <f>+IF(J12&lt;&gt;"",$AS12*J12,0)</f>
        <v>2000</v>
      </c>
      <c r="AY12" s="10">
        <f>+IF(K12&lt;&gt;"",$AS12*K12,0)</f>
        <v>2000</v>
      </c>
      <c r="AZ12" s="10">
        <f>+IF(L12&lt;&gt;"",$AS12*L12,0)</f>
        <v>2000</v>
      </c>
      <c r="BA12" s="10">
        <f>+IF(M12&lt;&gt;"",$AS12*M12,0)</f>
        <v>2000</v>
      </c>
      <c r="BB12" s="10">
        <f>+IF(N12&lt;&gt;"",$AS12*N12,0)</f>
        <v>2000</v>
      </c>
      <c r="BC12" s="10">
        <f>+IF(O12&lt;&gt;"",$AS12*O12,0)</f>
        <v>2000</v>
      </c>
      <c r="BD12" s="10">
        <f>+IF(P12&lt;&gt;"",$AS12*P12,0)</f>
        <v>2000</v>
      </c>
      <c r="BE12" s="10">
        <f>+IF(Q12&lt;&gt;"",$AS12*Q12,0)</f>
        <v>1600</v>
      </c>
      <c r="BF12" s="10">
        <f>+IF(R12&lt;&gt;"",$AS12*R12,0)</f>
        <v>2000</v>
      </c>
      <c r="BG12" s="10">
        <f>+IF(S12&lt;&gt;"",$AS12*S12,0)</f>
        <v>2000</v>
      </c>
      <c r="BH12" s="10">
        <f>+IF(T12&lt;&gt;"",$AS12*T12,0)</f>
        <v>1600</v>
      </c>
      <c r="BI12" s="10">
        <f>+IF(U12&lt;&gt;"",$AS12*U12,0)</f>
        <v>1600</v>
      </c>
      <c r="BJ12" s="10">
        <f>+IF(V12&lt;&gt;"",$AS12*V12,0)</f>
        <v>2000</v>
      </c>
      <c r="BK12" s="10">
        <f>+IF(W12&lt;&gt;"",$AS12*W12,0)</f>
        <v>1000</v>
      </c>
      <c r="BL12" s="10">
        <f>+IF(X12&lt;&gt;"",$AS12*X12,0)</f>
        <v>600</v>
      </c>
      <c r="BM12" s="10">
        <f>+IF(Y12&lt;&gt;"",$AS12*Y12,0)</f>
        <v>1000</v>
      </c>
      <c r="BN12" s="10">
        <f>+IF(Z12&lt;&gt;"",$AS12*Z12,0)</f>
        <v>600</v>
      </c>
      <c r="BO12" s="10">
        <f>+IF(AA12&lt;&gt;"",$AS12*AA12,0)</f>
        <v>1000</v>
      </c>
      <c r="BP12" s="10">
        <f>+IF(AB12&lt;&gt;"",$AS12*AB12,0)</f>
        <v>600</v>
      </c>
      <c r="BQ12" s="10">
        <f>+IF(AC12&lt;&gt;"",$AS12*AC12,0)</f>
        <v>1000</v>
      </c>
      <c r="BR12" s="10">
        <f>+IF(AD12&lt;&gt;"",$AS12*AD12,0)</f>
        <v>1000</v>
      </c>
      <c r="BS12" s="10">
        <f>+IF(AE12&lt;&gt;"",$AS12*AE12,0)</f>
        <v>1000</v>
      </c>
      <c r="BT12" s="10">
        <f>+IF(AF12&lt;&gt;"",$AS12*AF12,0)</f>
        <v>1000</v>
      </c>
      <c r="BU12" s="10">
        <f>+IF(AG12&lt;&gt;"",$AS12*AG12,0)</f>
        <v>1000</v>
      </c>
      <c r="BV12" s="10">
        <f>+SUM(AU12:BU12)</f>
        <v>40200</v>
      </c>
      <c r="BW12" s="10"/>
      <c r="BX12" s="10">
        <f>+SUMIF($AU$8:$BU$8,BX$8,$AU12:$BU12)</f>
        <v>9600</v>
      </c>
      <c r="BY12" s="10">
        <f>+SUMIF($AU$8:$BU$8,BY$8,$AU12:$BU12)</f>
        <v>8000</v>
      </c>
      <c r="BZ12" s="10">
        <f>+SUMIF($AU$8:$BU$8,BZ$8,$AU12:$BU12)</f>
        <v>7600</v>
      </c>
      <c r="CA12" s="10">
        <f>+SUMIF($AU$8:$BU$8,CA$8,$AU12:$BU12)</f>
        <v>6200</v>
      </c>
      <c r="CB12" s="10">
        <f>+SUMIF($AU$8:$BU$8,CB$8,$AU12:$BU12)</f>
        <v>3800</v>
      </c>
      <c r="CC12" s="10">
        <f>+SUMIF($AU$8:$BU$8,CC$8,$AU12:$BU12)</f>
        <v>4000</v>
      </c>
      <c r="CD12" s="10">
        <f>+SUMIF($AU$8:$BU$8,CD$8,$AU12:$BU12)</f>
        <v>1000</v>
      </c>
      <c r="CE12" s="11">
        <f>+SUM(BX12:CD12)</f>
        <v>40200</v>
      </c>
    </row>
    <row r="13" spans="1:83" x14ac:dyDescent="0.2">
      <c r="A13" s="1" t="s">
        <v>67</v>
      </c>
      <c r="B13" s="3" t="s">
        <v>39</v>
      </c>
      <c r="C13" s="3" t="s">
        <v>9</v>
      </c>
      <c r="D13" s="3" t="s">
        <v>62</v>
      </c>
      <c r="E13" s="3" t="s">
        <v>6</v>
      </c>
      <c r="F13" s="3"/>
      <c r="G13" s="2">
        <v>8</v>
      </c>
      <c r="H13" s="2">
        <v>16</v>
      </c>
      <c r="I13" s="2">
        <v>16</v>
      </c>
      <c r="J13" s="2">
        <v>16</v>
      </c>
      <c r="K13" s="2">
        <v>16</v>
      </c>
      <c r="L13" s="2">
        <v>16</v>
      </c>
      <c r="M13" s="2">
        <v>16</v>
      </c>
      <c r="N13" s="2">
        <v>16</v>
      </c>
      <c r="O13" s="2">
        <v>16</v>
      </c>
      <c r="P13" s="2">
        <v>16</v>
      </c>
      <c r="Q13" s="2">
        <v>8</v>
      </c>
      <c r="R13" s="2">
        <v>16</v>
      </c>
      <c r="S13" s="2">
        <v>16</v>
      </c>
      <c r="T13" s="2">
        <v>8</v>
      </c>
      <c r="U13" s="2">
        <v>8</v>
      </c>
      <c r="V13" s="2">
        <v>16</v>
      </c>
      <c r="W13" s="2">
        <v>16</v>
      </c>
      <c r="X13" s="2">
        <v>8</v>
      </c>
      <c r="Y13" s="2">
        <v>16</v>
      </c>
      <c r="Z13" s="2">
        <v>8</v>
      </c>
      <c r="AA13" s="2">
        <v>16</v>
      </c>
      <c r="AB13" s="2">
        <v>8</v>
      </c>
      <c r="AC13" s="2">
        <v>16</v>
      </c>
      <c r="AD13" s="2">
        <v>16</v>
      </c>
      <c r="AE13" s="2">
        <v>16</v>
      </c>
      <c r="AF13" s="2">
        <v>0</v>
      </c>
      <c r="AG13" s="2">
        <v>0</v>
      </c>
      <c r="AH13" s="2">
        <f>+SUM(G13:AG13)</f>
        <v>344</v>
      </c>
      <c r="AI13" s="2"/>
      <c r="AJ13" s="2">
        <f>+SUMIF($G$8:$AG$8,AJ$8,$G13:$AG13)</f>
        <v>72</v>
      </c>
      <c r="AK13" s="2">
        <f>+SUMIF($G$8:$AG$8,AK$8,$G13:$AG13)</f>
        <v>64</v>
      </c>
      <c r="AL13" s="2">
        <f>+SUMIF($G$8:$AG$8,AL$8,$G13:$AG13)</f>
        <v>56</v>
      </c>
      <c r="AM13" s="2">
        <f>+SUMIF($G$8:$AG$8,AM$8,$G13:$AG13)</f>
        <v>48</v>
      </c>
      <c r="AN13" s="2">
        <f>+SUMIF($G$8:$AG$8,AN$8,$G13:$AG13)</f>
        <v>56</v>
      </c>
      <c r="AO13" s="2">
        <f>+SUMIF($G$8:$AG$8,AO$8,$G13:$AG13)</f>
        <v>48</v>
      </c>
      <c r="AP13" s="2">
        <f>+SUMIF($G$8:$AG$8,AP$8,$G13:$AG13)</f>
        <v>0</v>
      </c>
      <c r="AQ13" s="2">
        <f>+SUM(AJ13:AP13)</f>
        <v>344</v>
      </c>
      <c r="AR13" s="2"/>
      <c r="AS13" s="55">
        <v>40</v>
      </c>
      <c r="AT13" s="2"/>
      <c r="AU13" s="10">
        <f>+IF(G13&lt;&gt;"",$AS13*G13,0)</f>
        <v>320</v>
      </c>
      <c r="AV13" s="10">
        <f>+IF(H13&lt;&gt;"",$AS13*H13,0)</f>
        <v>640</v>
      </c>
      <c r="AW13" s="10">
        <f>+IF(I13&lt;&gt;"",$AS13*I13,0)</f>
        <v>640</v>
      </c>
      <c r="AX13" s="10">
        <f>+IF(J13&lt;&gt;"",$AS13*J13,0)</f>
        <v>640</v>
      </c>
      <c r="AY13" s="10">
        <f>+IF(K13&lt;&gt;"",$AS13*K13,0)</f>
        <v>640</v>
      </c>
      <c r="AZ13" s="10">
        <f>+IF(L13&lt;&gt;"",$AS13*L13,0)</f>
        <v>640</v>
      </c>
      <c r="BA13" s="10">
        <f>+IF(M13&lt;&gt;"",$AS13*M13,0)</f>
        <v>640</v>
      </c>
      <c r="BB13" s="10">
        <f>+IF(N13&lt;&gt;"",$AS13*N13,0)</f>
        <v>640</v>
      </c>
      <c r="BC13" s="10">
        <f>+IF(O13&lt;&gt;"",$AS13*O13,0)</f>
        <v>640</v>
      </c>
      <c r="BD13" s="10">
        <f>+IF(P13&lt;&gt;"",$AS13*P13,0)</f>
        <v>640</v>
      </c>
      <c r="BE13" s="10">
        <f>+IF(Q13&lt;&gt;"",$AS13*Q13,0)</f>
        <v>320</v>
      </c>
      <c r="BF13" s="10">
        <f>+IF(R13&lt;&gt;"",$AS13*R13,0)</f>
        <v>640</v>
      </c>
      <c r="BG13" s="10">
        <f>+IF(S13&lt;&gt;"",$AS13*S13,0)</f>
        <v>640</v>
      </c>
      <c r="BH13" s="10">
        <f>+IF(T13&lt;&gt;"",$AS13*T13,0)</f>
        <v>320</v>
      </c>
      <c r="BI13" s="10">
        <f>+IF(U13&lt;&gt;"",$AS13*U13,0)</f>
        <v>320</v>
      </c>
      <c r="BJ13" s="10">
        <f>+IF(V13&lt;&gt;"",$AS13*V13,0)</f>
        <v>640</v>
      </c>
      <c r="BK13" s="10">
        <f>+IF(W13&lt;&gt;"",$AS13*W13,0)</f>
        <v>640</v>
      </c>
      <c r="BL13" s="10">
        <f>+IF(X13&lt;&gt;"",$AS13*X13,0)</f>
        <v>320</v>
      </c>
      <c r="BM13" s="10">
        <f>+IF(Y13&lt;&gt;"",$AS13*Y13,0)</f>
        <v>640</v>
      </c>
      <c r="BN13" s="10">
        <f>+IF(Z13&lt;&gt;"",$AS13*Z13,0)</f>
        <v>320</v>
      </c>
      <c r="BO13" s="10">
        <f>+IF(AA13&lt;&gt;"",$AS13*AA13,0)</f>
        <v>640</v>
      </c>
      <c r="BP13" s="10">
        <f>+IF(AB13&lt;&gt;"",$AS13*AB13,0)</f>
        <v>320</v>
      </c>
      <c r="BQ13" s="10">
        <f>+IF(AC13&lt;&gt;"",$AS13*AC13,0)</f>
        <v>640</v>
      </c>
      <c r="BR13" s="10">
        <f>+IF(AD13&lt;&gt;"",$AS13*AD13,0)</f>
        <v>640</v>
      </c>
      <c r="BS13" s="10">
        <f>+IF(AE13&lt;&gt;"",$AS13*AE13,0)</f>
        <v>640</v>
      </c>
      <c r="BT13" s="10">
        <f>+IF(AF13&lt;&gt;"",$AS13*AF13,0)</f>
        <v>0</v>
      </c>
      <c r="BU13" s="10">
        <f>+IF(AG13&lt;&gt;"",$AS13*AG13,0)</f>
        <v>0</v>
      </c>
      <c r="BV13" s="10">
        <f>+SUM(AU13:BU13)</f>
        <v>13760</v>
      </c>
      <c r="BW13" s="10"/>
      <c r="BX13" s="10">
        <f>+SUMIF($AU$8:$BU$8,BX$8,$AU13:$BU13)</f>
        <v>2880</v>
      </c>
      <c r="BY13" s="10">
        <f>+SUMIF($AU$8:$BU$8,BY$8,$AU13:$BU13)</f>
        <v>2560</v>
      </c>
      <c r="BZ13" s="10">
        <f>+SUMIF($AU$8:$BU$8,BZ$8,$AU13:$BU13)</f>
        <v>2240</v>
      </c>
      <c r="CA13" s="10">
        <f>+SUMIF($AU$8:$BU$8,CA$8,$AU13:$BU13)</f>
        <v>1920</v>
      </c>
      <c r="CB13" s="10">
        <f>+SUMIF($AU$8:$BU$8,CB$8,$AU13:$BU13)</f>
        <v>2240</v>
      </c>
      <c r="CC13" s="10">
        <f>+SUMIF($AU$8:$BU$8,CC$8,$AU13:$BU13)</f>
        <v>1920</v>
      </c>
      <c r="CD13" s="10">
        <f>+SUMIF($AU$8:$BU$8,CD$8,$AU13:$BU13)</f>
        <v>0</v>
      </c>
      <c r="CE13" s="11">
        <f t="shared" ref="CE13:CE20" si="12">+SUM(BX13:CD13)</f>
        <v>13760</v>
      </c>
    </row>
    <row r="14" spans="1:83" x14ac:dyDescent="0.2">
      <c r="A14" s="1" t="s">
        <v>67</v>
      </c>
      <c r="B14" s="3" t="s">
        <v>50</v>
      </c>
      <c r="C14" s="3" t="s">
        <v>45</v>
      </c>
      <c r="D14" s="3" t="s">
        <v>63</v>
      </c>
      <c r="E14" s="3" t="s">
        <v>6</v>
      </c>
      <c r="F14" s="3"/>
      <c r="G14" s="2">
        <v>24</v>
      </c>
      <c r="H14" s="2">
        <v>32</v>
      </c>
      <c r="I14" s="2">
        <v>32</v>
      </c>
      <c r="J14" s="2">
        <v>32</v>
      </c>
      <c r="K14" s="2">
        <v>32</v>
      </c>
      <c r="L14" s="2">
        <v>32</v>
      </c>
      <c r="M14" s="2">
        <v>32</v>
      </c>
      <c r="N14" s="2">
        <v>32</v>
      </c>
      <c r="O14" s="2">
        <v>32</v>
      </c>
      <c r="P14" s="2">
        <v>32</v>
      </c>
      <c r="Q14" s="2">
        <v>24</v>
      </c>
      <c r="R14" s="2">
        <v>32</v>
      </c>
      <c r="S14" s="2">
        <v>32</v>
      </c>
      <c r="T14" s="2">
        <v>24</v>
      </c>
      <c r="U14" s="2">
        <v>24</v>
      </c>
      <c r="V14" s="2">
        <v>32</v>
      </c>
      <c r="W14" s="2">
        <v>32</v>
      </c>
      <c r="X14" s="2">
        <v>24</v>
      </c>
      <c r="Y14" s="2">
        <v>32</v>
      </c>
      <c r="Z14" s="2">
        <v>24</v>
      </c>
      <c r="AA14" s="2">
        <v>32</v>
      </c>
      <c r="AB14" s="2">
        <v>24</v>
      </c>
      <c r="AC14" s="2">
        <v>16</v>
      </c>
      <c r="AD14" s="2">
        <v>16</v>
      </c>
      <c r="AE14" s="2">
        <v>16</v>
      </c>
      <c r="AF14" s="2">
        <v>16</v>
      </c>
      <c r="AG14" s="2">
        <v>0</v>
      </c>
      <c r="AH14" s="2">
        <f>+SUM(G14:AG14)</f>
        <v>712</v>
      </c>
      <c r="AI14" s="2"/>
      <c r="AJ14" s="2">
        <f>+SUMIF($G$8:$AG$8,AJ$8,$G14:$AG14)</f>
        <v>152</v>
      </c>
      <c r="AK14" s="2">
        <f>+SUMIF($G$8:$AG$8,AK$8,$G14:$AG14)</f>
        <v>128</v>
      </c>
      <c r="AL14" s="2">
        <f>+SUMIF($G$8:$AG$8,AL$8,$G14:$AG14)</f>
        <v>120</v>
      </c>
      <c r="AM14" s="2">
        <f>+SUMIF($G$8:$AG$8,AM$8,$G14:$AG14)</f>
        <v>112</v>
      </c>
      <c r="AN14" s="2">
        <f>+SUMIF($G$8:$AG$8,AN$8,$G14:$AG14)</f>
        <v>136</v>
      </c>
      <c r="AO14" s="2">
        <f>+SUMIF($G$8:$AG$8,AO$8,$G14:$AG14)</f>
        <v>64</v>
      </c>
      <c r="AP14" s="2">
        <f>+SUMIF($G$8:$AG$8,AP$8,$G14:$AG14)</f>
        <v>0</v>
      </c>
      <c r="AQ14" s="2">
        <f>+SUM(AJ14:AP14)</f>
        <v>712</v>
      </c>
      <c r="AR14" s="2"/>
      <c r="AS14" s="55">
        <v>50</v>
      </c>
      <c r="AT14" s="2"/>
      <c r="AU14" s="10">
        <f>+IF(G14&lt;&gt;"",$AS14*G14,0)</f>
        <v>1200</v>
      </c>
      <c r="AV14" s="10">
        <f>+IF(H14&lt;&gt;"",$AS14*H14,0)</f>
        <v>1600</v>
      </c>
      <c r="AW14" s="10">
        <f>+IF(I14&lt;&gt;"",$AS14*I14,0)</f>
        <v>1600</v>
      </c>
      <c r="AX14" s="10">
        <f>+IF(J14&lt;&gt;"",$AS14*J14,0)</f>
        <v>1600</v>
      </c>
      <c r="AY14" s="10">
        <f>+IF(K14&lt;&gt;"",$AS14*K14,0)</f>
        <v>1600</v>
      </c>
      <c r="AZ14" s="10">
        <f>+IF(L14&lt;&gt;"",$AS14*L14,0)</f>
        <v>1600</v>
      </c>
      <c r="BA14" s="10">
        <f>+IF(M14&lt;&gt;"",$AS14*M14,0)</f>
        <v>1600</v>
      </c>
      <c r="BB14" s="10">
        <f>+IF(N14&lt;&gt;"",$AS14*N14,0)</f>
        <v>1600</v>
      </c>
      <c r="BC14" s="10">
        <f>+IF(O14&lt;&gt;"",$AS14*O14,0)</f>
        <v>1600</v>
      </c>
      <c r="BD14" s="10">
        <f>+IF(P14&lt;&gt;"",$AS14*P14,0)</f>
        <v>1600</v>
      </c>
      <c r="BE14" s="10">
        <f>+IF(Q14&lt;&gt;"",$AS14*Q14,0)</f>
        <v>1200</v>
      </c>
      <c r="BF14" s="10">
        <f>+IF(R14&lt;&gt;"",$AS14*R14,0)</f>
        <v>1600</v>
      </c>
      <c r="BG14" s="10">
        <f>+IF(S14&lt;&gt;"",$AS14*S14,0)</f>
        <v>1600</v>
      </c>
      <c r="BH14" s="10">
        <f>+IF(T14&lt;&gt;"",$AS14*T14,0)</f>
        <v>1200</v>
      </c>
      <c r="BI14" s="10">
        <f>+IF(U14&lt;&gt;"",$AS14*U14,0)</f>
        <v>1200</v>
      </c>
      <c r="BJ14" s="10">
        <f>+IF(V14&lt;&gt;"",$AS14*V14,0)</f>
        <v>1600</v>
      </c>
      <c r="BK14" s="10">
        <f>+IF(W14&lt;&gt;"",$AS14*W14,0)</f>
        <v>1600</v>
      </c>
      <c r="BL14" s="10">
        <f>+IF(X14&lt;&gt;"",$AS14*X14,0)</f>
        <v>1200</v>
      </c>
      <c r="BM14" s="10">
        <f>+IF(Y14&lt;&gt;"",$AS14*Y14,0)</f>
        <v>1600</v>
      </c>
      <c r="BN14" s="10">
        <f>+IF(Z14&lt;&gt;"",$AS14*Z14,0)</f>
        <v>1200</v>
      </c>
      <c r="BO14" s="10">
        <f>+IF(AA14&lt;&gt;"",$AS14*AA14,0)</f>
        <v>1600</v>
      </c>
      <c r="BP14" s="10">
        <f>+IF(AB14&lt;&gt;"",$AS14*AB14,0)</f>
        <v>1200</v>
      </c>
      <c r="BQ14" s="10">
        <f>+IF(AC14&lt;&gt;"",$AS14*AC14,0)</f>
        <v>800</v>
      </c>
      <c r="BR14" s="10">
        <f>+IF(AD14&lt;&gt;"",$AS14*AD14,0)</f>
        <v>800</v>
      </c>
      <c r="BS14" s="10">
        <f>+IF(AE14&lt;&gt;"",$AS14*AE14,0)</f>
        <v>800</v>
      </c>
      <c r="BT14" s="10">
        <f>+IF(AF14&lt;&gt;"",$AS14*AF14,0)</f>
        <v>800</v>
      </c>
      <c r="BU14" s="10">
        <f>+IF(AG14&lt;&gt;"",$AS14*AG14,0)</f>
        <v>0</v>
      </c>
      <c r="BV14" s="10">
        <f>+SUM(AU14:BU14)</f>
        <v>35600</v>
      </c>
      <c r="BW14" s="10"/>
      <c r="BX14" s="10">
        <f>+SUMIF($AU$8:$BU$8,BX$8,$AU14:$BU14)</f>
        <v>7600</v>
      </c>
      <c r="BY14" s="10">
        <f>+SUMIF($AU$8:$BU$8,BY$8,$AU14:$BU14)</f>
        <v>6400</v>
      </c>
      <c r="BZ14" s="10">
        <f>+SUMIF($AU$8:$BU$8,BZ$8,$AU14:$BU14)</f>
        <v>6000</v>
      </c>
      <c r="CA14" s="10">
        <f>+SUMIF($AU$8:$BU$8,CA$8,$AU14:$BU14)</f>
        <v>5600</v>
      </c>
      <c r="CB14" s="10">
        <f>+SUMIF($AU$8:$BU$8,CB$8,$AU14:$BU14)</f>
        <v>6800</v>
      </c>
      <c r="CC14" s="10">
        <f>+SUMIF($AU$8:$BU$8,CC$8,$AU14:$BU14)</f>
        <v>3200</v>
      </c>
      <c r="CD14" s="10">
        <f>+SUMIF($AU$8:$BU$8,CD$8,$AU14:$BU14)</f>
        <v>0</v>
      </c>
      <c r="CE14" s="11">
        <f t="shared" si="12"/>
        <v>35600</v>
      </c>
    </row>
    <row r="15" spans="1:83" x14ac:dyDescent="0.2">
      <c r="A15" s="1" t="s">
        <v>67</v>
      </c>
      <c r="B15" s="3" t="s">
        <v>51</v>
      </c>
      <c r="C15" s="3" t="s">
        <v>46</v>
      </c>
      <c r="D15" s="3" t="s">
        <v>64</v>
      </c>
      <c r="E15" s="3" t="s">
        <v>6</v>
      </c>
      <c r="F15" s="3"/>
      <c r="G15" s="2">
        <v>24</v>
      </c>
      <c r="H15" s="2">
        <v>32</v>
      </c>
      <c r="I15" s="2">
        <v>32</v>
      </c>
      <c r="J15" s="2">
        <v>32</v>
      </c>
      <c r="K15" s="2">
        <v>32</v>
      </c>
      <c r="L15" s="2">
        <v>32</v>
      </c>
      <c r="M15" s="2">
        <v>32</v>
      </c>
      <c r="N15" s="2">
        <v>32</v>
      </c>
      <c r="O15" s="2">
        <v>32</v>
      </c>
      <c r="P15" s="2">
        <v>32</v>
      </c>
      <c r="Q15" s="2">
        <v>24</v>
      </c>
      <c r="R15" s="2">
        <v>32</v>
      </c>
      <c r="S15" s="2">
        <v>32</v>
      </c>
      <c r="T15" s="2">
        <v>24</v>
      </c>
      <c r="U15" s="2">
        <v>24</v>
      </c>
      <c r="V15" s="2">
        <v>32</v>
      </c>
      <c r="W15" s="2">
        <v>32</v>
      </c>
      <c r="X15" s="2">
        <v>24</v>
      </c>
      <c r="Y15" s="2">
        <v>32</v>
      </c>
      <c r="Z15" s="2">
        <v>24</v>
      </c>
      <c r="AA15" s="2">
        <v>32</v>
      </c>
      <c r="AB15" s="2">
        <v>24</v>
      </c>
      <c r="AC15" s="2">
        <v>16</v>
      </c>
      <c r="AD15" s="2">
        <v>16</v>
      </c>
      <c r="AE15" s="2">
        <v>16</v>
      </c>
      <c r="AF15" s="2">
        <v>16</v>
      </c>
      <c r="AG15" s="2">
        <v>0</v>
      </c>
      <c r="AH15" s="2">
        <f>+SUM(G15:AG15)</f>
        <v>712</v>
      </c>
      <c r="AI15" s="2"/>
      <c r="AJ15" s="2">
        <f>+SUMIF($G$8:$AG$8,AJ$8,$G15:$AG15)</f>
        <v>152</v>
      </c>
      <c r="AK15" s="2">
        <f>+SUMIF($G$8:$AG$8,AK$8,$G15:$AG15)</f>
        <v>128</v>
      </c>
      <c r="AL15" s="2">
        <f>+SUMIF($G$8:$AG$8,AL$8,$G15:$AG15)</f>
        <v>120</v>
      </c>
      <c r="AM15" s="2">
        <f>+SUMIF($G$8:$AG$8,AM$8,$G15:$AG15)</f>
        <v>112</v>
      </c>
      <c r="AN15" s="2">
        <f>+SUMIF($G$8:$AG$8,AN$8,$G15:$AG15)</f>
        <v>136</v>
      </c>
      <c r="AO15" s="2">
        <f>+SUMIF($G$8:$AG$8,AO$8,$G15:$AG15)</f>
        <v>64</v>
      </c>
      <c r="AP15" s="2">
        <f>+SUMIF($G$8:$AG$8,AP$8,$G15:$AG15)</f>
        <v>0</v>
      </c>
      <c r="AQ15" s="2">
        <f>+SUM(AJ15:AP15)</f>
        <v>712</v>
      </c>
      <c r="AR15" s="2"/>
      <c r="AS15" s="55">
        <v>100</v>
      </c>
      <c r="AT15" s="2"/>
      <c r="AU15" s="10">
        <f>+IF(G15&lt;&gt;"",$AS15*G15,0)</f>
        <v>2400</v>
      </c>
      <c r="AV15" s="10">
        <f>+IF(H15&lt;&gt;"",$AS15*H15,0)</f>
        <v>3200</v>
      </c>
      <c r="AW15" s="10">
        <f>+IF(I15&lt;&gt;"",$AS15*I15,0)</f>
        <v>3200</v>
      </c>
      <c r="AX15" s="10">
        <f>+IF(J15&lt;&gt;"",$AS15*J15,0)</f>
        <v>3200</v>
      </c>
      <c r="AY15" s="10">
        <f>+IF(K15&lt;&gt;"",$AS15*K15,0)</f>
        <v>3200</v>
      </c>
      <c r="AZ15" s="10">
        <f>+IF(L15&lt;&gt;"",$AS15*L15,0)</f>
        <v>3200</v>
      </c>
      <c r="BA15" s="10">
        <f>+IF(M15&lt;&gt;"",$AS15*M15,0)</f>
        <v>3200</v>
      </c>
      <c r="BB15" s="10">
        <f>+IF(N15&lt;&gt;"",$AS15*N15,0)</f>
        <v>3200</v>
      </c>
      <c r="BC15" s="10">
        <f>+IF(O15&lt;&gt;"",$AS15*O15,0)</f>
        <v>3200</v>
      </c>
      <c r="BD15" s="10">
        <f>+IF(P15&lt;&gt;"",$AS15*P15,0)</f>
        <v>3200</v>
      </c>
      <c r="BE15" s="10">
        <f>+IF(Q15&lt;&gt;"",$AS15*Q15,0)</f>
        <v>2400</v>
      </c>
      <c r="BF15" s="10">
        <f>+IF(R15&lt;&gt;"",$AS15*R15,0)</f>
        <v>3200</v>
      </c>
      <c r="BG15" s="10">
        <f>+IF(S15&lt;&gt;"",$AS15*S15,0)</f>
        <v>3200</v>
      </c>
      <c r="BH15" s="10">
        <f>+IF(T15&lt;&gt;"",$AS15*T15,0)</f>
        <v>2400</v>
      </c>
      <c r="BI15" s="10">
        <f>+IF(U15&lt;&gt;"",$AS15*U15,0)</f>
        <v>2400</v>
      </c>
      <c r="BJ15" s="10">
        <f>+IF(V15&lt;&gt;"",$AS15*V15,0)</f>
        <v>3200</v>
      </c>
      <c r="BK15" s="10">
        <f>+IF(W15&lt;&gt;"",$AS15*W15,0)</f>
        <v>3200</v>
      </c>
      <c r="BL15" s="10">
        <f>+IF(X15&lt;&gt;"",$AS15*X15,0)</f>
        <v>2400</v>
      </c>
      <c r="BM15" s="10">
        <f>+IF(Y15&lt;&gt;"",$AS15*Y15,0)</f>
        <v>3200</v>
      </c>
      <c r="BN15" s="10">
        <f>+IF(Z15&lt;&gt;"",$AS15*Z15,0)</f>
        <v>2400</v>
      </c>
      <c r="BO15" s="10">
        <f>+IF(AA15&lt;&gt;"",$AS15*AA15,0)</f>
        <v>3200</v>
      </c>
      <c r="BP15" s="10">
        <f>+IF(AB15&lt;&gt;"",$AS15*AB15,0)</f>
        <v>2400</v>
      </c>
      <c r="BQ15" s="10">
        <f>+IF(AC15&lt;&gt;"",$AS15*AC15,0)</f>
        <v>1600</v>
      </c>
      <c r="BR15" s="10">
        <f>+IF(AD15&lt;&gt;"",$AS15*AD15,0)</f>
        <v>1600</v>
      </c>
      <c r="BS15" s="10">
        <f>+IF(AE15&lt;&gt;"",$AS15*AE15,0)</f>
        <v>1600</v>
      </c>
      <c r="BT15" s="10">
        <f>+IF(AF15&lt;&gt;"",$AS15*AF15,0)</f>
        <v>1600</v>
      </c>
      <c r="BU15" s="10">
        <f>+IF(AG15&lt;&gt;"",$AS15*AG15,0)</f>
        <v>0</v>
      </c>
      <c r="BV15" s="10">
        <f>+SUM(AU15:BU15)</f>
        <v>71200</v>
      </c>
      <c r="BW15" s="10"/>
      <c r="BX15" s="10">
        <f>+SUMIF($AU$8:$BU$8,BX$8,$AU15:$BU15)</f>
        <v>15200</v>
      </c>
      <c r="BY15" s="10">
        <f>+SUMIF($AU$8:$BU$8,BY$8,$AU15:$BU15)</f>
        <v>12800</v>
      </c>
      <c r="BZ15" s="10">
        <f>+SUMIF($AU$8:$BU$8,BZ$8,$AU15:$BU15)</f>
        <v>12000</v>
      </c>
      <c r="CA15" s="10">
        <f>+SUMIF($AU$8:$BU$8,CA$8,$AU15:$BU15)</f>
        <v>11200</v>
      </c>
      <c r="CB15" s="10">
        <f>+SUMIF($AU$8:$BU$8,CB$8,$AU15:$BU15)</f>
        <v>13600</v>
      </c>
      <c r="CC15" s="10">
        <f>+SUMIF($AU$8:$BU$8,CC$8,$AU15:$BU15)</f>
        <v>6400</v>
      </c>
      <c r="CD15" s="10">
        <f>+SUMIF($AU$8:$BU$8,CD$8,$AU15:$BU15)</f>
        <v>0</v>
      </c>
      <c r="CE15" s="11">
        <f t="shared" si="12"/>
        <v>71200</v>
      </c>
    </row>
    <row r="16" spans="1:83" x14ac:dyDescent="0.2">
      <c r="A16" s="1" t="s">
        <v>67</v>
      </c>
      <c r="B16" s="3" t="s">
        <v>52</v>
      </c>
      <c r="C16" s="3" t="s">
        <v>47</v>
      </c>
      <c r="D16" s="3" t="s">
        <v>65</v>
      </c>
      <c r="E16" s="3" t="s">
        <v>6</v>
      </c>
      <c r="F16" s="3"/>
      <c r="G16" s="2">
        <v>8</v>
      </c>
      <c r="H16" s="2">
        <v>16</v>
      </c>
      <c r="I16" s="2">
        <v>16</v>
      </c>
      <c r="J16" s="2">
        <v>16</v>
      </c>
      <c r="K16" s="2">
        <v>16</v>
      </c>
      <c r="L16" s="2">
        <v>16</v>
      </c>
      <c r="M16" s="2">
        <v>16</v>
      </c>
      <c r="N16" s="2">
        <v>16</v>
      </c>
      <c r="O16" s="2">
        <v>16</v>
      </c>
      <c r="P16" s="2">
        <v>16</v>
      </c>
      <c r="Q16" s="2">
        <v>8</v>
      </c>
      <c r="R16" s="2">
        <v>16</v>
      </c>
      <c r="S16" s="2">
        <v>16</v>
      </c>
      <c r="T16" s="2">
        <v>8</v>
      </c>
      <c r="U16" s="2">
        <v>8</v>
      </c>
      <c r="V16" s="2">
        <v>16</v>
      </c>
      <c r="W16" s="2">
        <v>16</v>
      </c>
      <c r="X16" s="2">
        <v>8</v>
      </c>
      <c r="Y16" s="2">
        <v>16</v>
      </c>
      <c r="Z16" s="2">
        <v>8</v>
      </c>
      <c r="AA16" s="2">
        <v>16</v>
      </c>
      <c r="AB16" s="2">
        <v>8</v>
      </c>
      <c r="AC16" s="2">
        <v>16</v>
      </c>
      <c r="AD16" s="2">
        <v>16</v>
      </c>
      <c r="AE16" s="2">
        <v>16</v>
      </c>
      <c r="AF16" s="2">
        <v>16</v>
      </c>
      <c r="AG16" s="2">
        <v>0</v>
      </c>
      <c r="AH16" s="2">
        <f>+SUM(G16:AG16)</f>
        <v>360</v>
      </c>
      <c r="AI16" s="2"/>
      <c r="AJ16" s="2">
        <f>+SUMIF($G$8:$AG$8,AJ$8,$G16:$AG16)</f>
        <v>72</v>
      </c>
      <c r="AK16" s="2">
        <f>+SUMIF($G$8:$AG$8,AK$8,$G16:$AG16)</f>
        <v>64</v>
      </c>
      <c r="AL16" s="2">
        <f>+SUMIF($G$8:$AG$8,AL$8,$G16:$AG16)</f>
        <v>56</v>
      </c>
      <c r="AM16" s="2">
        <f>+SUMIF($G$8:$AG$8,AM$8,$G16:$AG16)</f>
        <v>48</v>
      </c>
      <c r="AN16" s="2">
        <f>+SUMIF($G$8:$AG$8,AN$8,$G16:$AG16)</f>
        <v>56</v>
      </c>
      <c r="AO16" s="2">
        <f>+SUMIF($G$8:$AG$8,AO$8,$G16:$AG16)</f>
        <v>64</v>
      </c>
      <c r="AP16" s="2">
        <f>+SUMIF($G$8:$AG$8,AP$8,$G16:$AG16)</f>
        <v>0</v>
      </c>
      <c r="AQ16" s="2">
        <f>+SUM(AJ16:AP16)</f>
        <v>360</v>
      </c>
      <c r="AR16" s="2"/>
      <c r="AS16" s="55">
        <v>40</v>
      </c>
      <c r="AT16" s="2"/>
      <c r="AU16" s="10">
        <f>+IF(G16&lt;&gt;"",$AS16*G16,0)</f>
        <v>320</v>
      </c>
      <c r="AV16" s="10">
        <f>+IF(H16&lt;&gt;"",$AS16*H16,0)</f>
        <v>640</v>
      </c>
      <c r="AW16" s="10">
        <f>+IF(I16&lt;&gt;"",$AS16*I16,0)</f>
        <v>640</v>
      </c>
      <c r="AX16" s="10">
        <f>+IF(J16&lt;&gt;"",$AS16*J16,0)</f>
        <v>640</v>
      </c>
      <c r="AY16" s="10">
        <f>+IF(K16&lt;&gt;"",$AS16*K16,0)</f>
        <v>640</v>
      </c>
      <c r="AZ16" s="10">
        <f>+IF(L16&lt;&gt;"",$AS16*L16,0)</f>
        <v>640</v>
      </c>
      <c r="BA16" s="10">
        <f>+IF(M16&lt;&gt;"",$AS16*M16,0)</f>
        <v>640</v>
      </c>
      <c r="BB16" s="10">
        <f>+IF(N16&lt;&gt;"",$AS16*N16,0)</f>
        <v>640</v>
      </c>
      <c r="BC16" s="10">
        <f>+IF(O16&lt;&gt;"",$AS16*O16,0)</f>
        <v>640</v>
      </c>
      <c r="BD16" s="10">
        <f>+IF(P16&lt;&gt;"",$AS16*P16,0)</f>
        <v>640</v>
      </c>
      <c r="BE16" s="10">
        <f>+IF(Q16&lt;&gt;"",$AS16*Q16,0)</f>
        <v>320</v>
      </c>
      <c r="BF16" s="10">
        <f>+IF(R16&lt;&gt;"",$AS16*R16,0)</f>
        <v>640</v>
      </c>
      <c r="BG16" s="10">
        <f>+IF(S16&lt;&gt;"",$AS16*S16,0)</f>
        <v>640</v>
      </c>
      <c r="BH16" s="10">
        <f>+IF(T16&lt;&gt;"",$AS16*T16,0)</f>
        <v>320</v>
      </c>
      <c r="BI16" s="10">
        <f>+IF(U16&lt;&gt;"",$AS16*U16,0)</f>
        <v>320</v>
      </c>
      <c r="BJ16" s="10">
        <f>+IF(V16&lt;&gt;"",$AS16*V16,0)</f>
        <v>640</v>
      </c>
      <c r="BK16" s="10">
        <f>+IF(W16&lt;&gt;"",$AS16*W16,0)</f>
        <v>640</v>
      </c>
      <c r="BL16" s="10">
        <f>+IF(X16&lt;&gt;"",$AS16*X16,0)</f>
        <v>320</v>
      </c>
      <c r="BM16" s="10">
        <f>+IF(Y16&lt;&gt;"",$AS16*Y16,0)</f>
        <v>640</v>
      </c>
      <c r="BN16" s="10">
        <f>+IF(Z16&lt;&gt;"",$AS16*Z16,0)</f>
        <v>320</v>
      </c>
      <c r="BO16" s="10">
        <f>+IF(AA16&lt;&gt;"",$AS16*AA16,0)</f>
        <v>640</v>
      </c>
      <c r="BP16" s="10">
        <f>+IF(AB16&lt;&gt;"",$AS16*AB16,0)</f>
        <v>320</v>
      </c>
      <c r="BQ16" s="10">
        <f>+IF(AC16&lt;&gt;"",$AS16*AC16,0)</f>
        <v>640</v>
      </c>
      <c r="BR16" s="10">
        <f>+IF(AD16&lt;&gt;"",$AS16*AD16,0)</f>
        <v>640</v>
      </c>
      <c r="BS16" s="10">
        <f>+IF(AE16&lt;&gt;"",$AS16*AE16,0)</f>
        <v>640</v>
      </c>
      <c r="BT16" s="10">
        <f>+IF(AF16&lt;&gt;"",$AS16*AF16,0)</f>
        <v>640</v>
      </c>
      <c r="BU16" s="10">
        <f>+IF(AG16&lt;&gt;"",$AS16*AG16,0)</f>
        <v>0</v>
      </c>
      <c r="BV16" s="10">
        <f>+SUM(AU16:BU16)</f>
        <v>14400</v>
      </c>
      <c r="BW16" s="10"/>
      <c r="BX16" s="10">
        <f>+SUMIF($AU$8:$BU$8,BX$8,$AU16:$BU16)</f>
        <v>2880</v>
      </c>
      <c r="BY16" s="10">
        <f>+SUMIF($AU$8:$BU$8,BY$8,$AU16:$BU16)</f>
        <v>2560</v>
      </c>
      <c r="BZ16" s="10">
        <f>+SUMIF($AU$8:$BU$8,BZ$8,$AU16:$BU16)</f>
        <v>2240</v>
      </c>
      <c r="CA16" s="10">
        <f>+SUMIF($AU$8:$BU$8,CA$8,$AU16:$BU16)</f>
        <v>1920</v>
      </c>
      <c r="CB16" s="10">
        <f>+SUMIF($AU$8:$BU$8,CB$8,$AU16:$BU16)</f>
        <v>2240</v>
      </c>
      <c r="CC16" s="10">
        <f>+SUMIF($AU$8:$BU$8,CC$8,$AU16:$BU16)</f>
        <v>2560</v>
      </c>
      <c r="CD16" s="10">
        <f>+SUMIF($AU$8:$BU$8,CD$8,$AU16:$BU16)</f>
        <v>0</v>
      </c>
      <c r="CE16" s="11">
        <f t="shared" si="12"/>
        <v>14400</v>
      </c>
    </row>
    <row r="17" spans="1:83" x14ac:dyDescent="0.2">
      <c r="A17" s="1" t="s">
        <v>67</v>
      </c>
      <c r="B17" s="3" t="s">
        <v>53</v>
      </c>
      <c r="C17" s="3" t="s">
        <v>48</v>
      </c>
      <c r="D17" s="3" t="s">
        <v>49</v>
      </c>
      <c r="E17" s="3" t="s">
        <v>6</v>
      </c>
      <c r="F17" s="3"/>
      <c r="G17" s="2">
        <v>8</v>
      </c>
      <c r="H17" s="2">
        <v>16</v>
      </c>
      <c r="I17" s="2">
        <v>16</v>
      </c>
      <c r="J17" s="2">
        <v>16</v>
      </c>
      <c r="K17" s="2">
        <v>16</v>
      </c>
      <c r="L17" s="2">
        <v>16</v>
      </c>
      <c r="M17" s="2">
        <v>16</v>
      </c>
      <c r="N17" s="2">
        <v>16</v>
      </c>
      <c r="O17" s="2">
        <v>16</v>
      </c>
      <c r="P17" s="2">
        <v>16</v>
      </c>
      <c r="Q17" s="2">
        <v>8</v>
      </c>
      <c r="R17" s="2">
        <v>16</v>
      </c>
      <c r="S17" s="2">
        <v>16</v>
      </c>
      <c r="T17" s="2">
        <v>8</v>
      </c>
      <c r="U17" s="2">
        <v>8</v>
      </c>
      <c r="V17" s="2">
        <v>16</v>
      </c>
      <c r="W17" s="2">
        <v>16</v>
      </c>
      <c r="X17" s="2">
        <v>8</v>
      </c>
      <c r="Y17" s="2">
        <v>16</v>
      </c>
      <c r="Z17" s="2">
        <v>8</v>
      </c>
      <c r="AA17" s="2">
        <v>16</v>
      </c>
      <c r="AB17" s="2">
        <v>8</v>
      </c>
      <c r="AC17" s="2">
        <v>16</v>
      </c>
      <c r="AD17" s="2">
        <v>16</v>
      </c>
      <c r="AE17" s="2">
        <v>16</v>
      </c>
      <c r="AF17" s="2">
        <v>16</v>
      </c>
      <c r="AG17" s="2">
        <v>0</v>
      </c>
      <c r="AH17" s="2">
        <f>+SUM(G17:AG17)</f>
        <v>360</v>
      </c>
      <c r="AI17" s="2"/>
      <c r="AJ17" s="2">
        <f>+SUMIF($G$8:$AG$8,AJ$8,$G17:$AG17)</f>
        <v>72</v>
      </c>
      <c r="AK17" s="2">
        <f>+SUMIF($G$8:$AG$8,AK$8,$G17:$AG17)</f>
        <v>64</v>
      </c>
      <c r="AL17" s="2">
        <f>+SUMIF($G$8:$AG$8,AL$8,$G17:$AG17)</f>
        <v>56</v>
      </c>
      <c r="AM17" s="2">
        <f>+SUMIF($G$8:$AG$8,AM$8,$G17:$AG17)</f>
        <v>48</v>
      </c>
      <c r="AN17" s="2">
        <f>+SUMIF($G$8:$AG$8,AN$8,$G17:$AG17)</f>
        <v>56</v>
      </c>
      <c r="AO17" s="2">
        <f>+SUMIF($G$8:$AG$8,AO$8,$G17:$AG17)</f>
        <v>64</v>
      </c>
      <c r="AP17" s="2">
        <f>+SUMIF($G$8:$AG$8,AP$8,$G17:$AG17)</f>
        <v>0</v>
      </c>
      <c r="AQ17" s="2">
        <f>+SUM(AJ17:AP17)</f>
        <v>360</v>
      </c>
      <c r="AR17" s="2"/>
      <c r="AS17" s="55">
        <v>50</v>
      </c>
      <c r="AT17" s="2"/>
      <c r="AU17" s="10">
        <f>+IF(G17&lt;&gt;"",$AS17*G17,0)</f>
        <v>400</v>
      </c>
      <c r="AV17" s="10">
        <f>+IF(H17&lt;&gt;"",$AS17*H17,0)</f>
        <v>800</v>
      </c>
      <c r="AW17" s="10">
        <f>+IF(I17&lt;&gt;"",$AS17*I17,0)</f>
        <v>800</v>
      </c>
      <c r="AX17" s="10">
        <f>+IF(J17&lt;&gt;"",$AS17*J17,0)</f>
        <v>800</v>
      </c>
      <c r="AY17" s="10">
        <f>+IF(K17&lt;&gt;"",$AS17*K17,0)</f>
        <v>800</v>
      </c>
      <c r="AZ17" s="10">
        <f>+IF(L17&lt;&gt;"",$AS17*L17,0)</f>
        <v>800</v>
      </c>
      <c r="BA17" s="10">
        <f>+IF(M17&lt;&gt;"",$AS17*M17,0)</f>
        <v>800</v>
      </c>
      <c r="BB17" s="10">
        <f>+IF(N17&lt;&gt;"",$AS17*N17,0)</f>
        <v>800</v>
      </c>
      <c r="BC17" s="10">
        <f>+IF(O17&lt;&gt;"",$AS17*O17,0)</f>
        <v>800</v>
      </c>
      <c r="BD17" s="10">
        <f>+IF(P17&lt;&gt;"",$AS17*P17,0)</f>
        <v>800</v>
      </c>
      <c r="BE17" s="10">
        <f>+IF(Q17&lt;&gt;"",$AS17*Q17,0)</f>
        <v>400</v>
      </c>
      <c r="BF17" s="10">
        <f>+IF(R17&lt;&gt;"",$AS17*R17,0)</f>
        <v>800</v>
      </c>
      <c r="BG17" s="10">
        <f>+IF(S17&lt;&gt;"",$AS17*S17,0)</f>
        <v>800</v>
      </c>
      <c r="BH17" s="10">
        <f>+IF(T17&lt;&gt;"",$AS17*T17,0)</f>
        <v>400</v>
      </c>
      <c r="BI17" s="10">
        <f>+IF(U17&lt;&gt;"",$AS17*U17,0)</f>
        <v>400</v>
      </c>
      <c r="BJ17" s="10">
        <f>+IF(V17&lt;&gt;"",$AS17*V17,0)</f>
        <v>800</v>
      </c>
      <c r="BK17" s="10">
        <f>+IF(W17&lt;&gt;"",$AS17*W17,0)</f>
        <v>800</v>
      </c>
      <c r="BL17" s="10">
        <f>+IF(X17&lt;&gt;"",$AS17*X17,0)</f>
        <v>400</v>
      </c>
      <c r="BM17" s="10">
        <f>+IF(Y17&lt;&gt;"",$AS17*Y17,0)</f>
        <v>800</v>
      </c>
      <c r="BN17" s="10">
        <f>+IF(Z17&lt;&gt;"",$AS17*Z17,0)</f>
        <v>400</v>
      </c>
      <c r="BO17" s="10">
        <f>+IF(AA17&lt;&gt;"",$AS17*AA17,0)</f>
        <v>800</v>
      </c>
      <c r="BP17" s="10">
        <f>+IF(AB17&lt;&gt;"",$AS17*AB17,0)</f>
        <v>400</v>
      </c>
      <c r="BQ17" s="10">
        <f>+IF(AC17&lt;&gt;"",$AS17*AC17,0)</f>
        <v>800</v>
      </c>
      <c r="BR17" s="10">
        <f>+IF(AD17&lt;&gt;"",$AS17*AD17,0)</f>
        <v>800</v>
      </c>
      <c r="BS17" s="10">
        <f>+IF(AE17&lt;&gt;"",$AS17*AE17,0)</f>
        <v>800</v>
      </c>
      <c r="BT17" s="10">
        <f>+IF(AF17&lt;&gt;"",$AS17*AF17,0)</f>
        <v>800</v>
      </c>
      <c r="BU17" s="10">
        <f>+IF(AG17&lt;&gt;"",$AS17*AG17,0)</f>
        <v>0</v>
      </c>
      <c r="BV17" s="10">
        <f>+SUM(AU17:BU17)</f>
        <v>18000</v>
      </c>
      <c r="BW17" s="10"/>
      <c r="BX17" s="10">
        <f>+SUMIF($AU$8:$BU$8,BX$8,$AU17:$BU17)</f>
        <v>3600</v>
      </c>
      <c r="BY17" s="10">
        <f>+SUMIF($AU$8:$BU$8,BY$8,$AU17:$BU17)</f>
        <v>3200</v>
      </c>
      <c r="BZ17" s="10">
        <f>+SUMIF($AU$8:$BU$8,BZ$8,$AU17:$BU17)</f>
        <v>2800</v>
      </c>
      <c r="CA17" s="10">
        <f>+SUMIF($AU$8:$BU$8,CA$8,$AU17:$BU17)</f>
        <v>2400</v>
      </c>
      <c r="CB17" s="10">
        <f>+SUMIF($AU$8:$BU$8,CB$8,$AU17:$BU17)</f>
        <v>2800</v>
      </c>
      <c r="CC17" s="10">
        <f>+SUMIF($AU$8:$BU$8,CC$8,$AU17:$BU17)</f>
        <v>3200</v>
      </c>
      <c r="CD17" s="10">
        <f>+SUMIF($AU$8:$BU$8,CD$8,$AU17:$BU17)</f>
        <v>0</v>
      </c>
      <c r="CE17" s="11">
        <f t="shared" si="12"/>
        <v>18000</v>
      </c>
    </row>
    <row r="18" spans="1:83" x14ac:dyDescent="0.2">
      <c r="A18" s="1" t="s">
        <v>67</v>
      </c>
      <c r="B18" s="3" t="s">
        <v>40</v>
      </c>
      <c r="C18" s="3" t="s">
        <v>11</v>
      </c>
      <c r="D18" s="3" t="s">
        <v>10</v>
      </c>
      <c r="E18" s="3" t="s">
        <v>10</v>
      </c>
      <c r="F18" s="3"/>
      <c r="G18" s="2">
        <v>32</v>
      </c>
      <c r="H18" s="2">
        <v>40</v>
      </c>
      <c r="I18" s="2">
        <v>40</v>
      </c>
      <c r="J18" s="2">
        <v>40</v>
      </c>
      <c r="K18" s="2">
        <v>40</v>
      </c>
      <c r="L18" s="2">
        <v>40</v>
      </c>
      <c r="M18" s="2">
        <v>40</v>
      </c>
      <c r="N18" s="2">
        <v>40</v>
      </c>
      <c r="O18" s="2">
        <v>40</v>
      </c>
      <c r="P18" s="2">
        <v>40</v>
      </c>
      <c r="Q18" s="2">
        <v>32</v>
      </c>
      <c r="R18" s="2">
        <v>40</v>
      </c>
      <c r="S18" s="2">
        <v>40</v>
      </c>
      <c r="T18" s="2">
        <v>32</v>
      </c>
      <c r="U18" s="2">
        <v>32</v>
      </c>
      <c r="V18" s="2">
        <v>40</v>
      </c>
      <c r="W18" s="2">
        <v>40</v>
      </c>
      <c r="X18" s="2">
        <v>32</v>
      </c>
      <c r="Y18" s="2">
        <v>40</v>
      </c>
      <c r="Z18" s="2">
        <v>32</v>
      </c>
      <c r="AA18" s="2">
        <v>40</v>
      </c>
      <c r="AB18" s="2">
        <v>32</v>
      </c>
      <c r="AC18" s="2">
        <v>40</v>
      </c>
      <c r="AD18" s="2">
        <v>40</v>
      </c>
      <c r="AE18" s="2">
        <v>40</v>
      </c>
      <c r="AF18" s="2">
        <v>40</v>
      </c>
      <c r="AG18" s="2">
        <v>40</v>
      </c>
      <c r="AH18" s="2">
        <f>+SUM(G18:AG18)</f>
        <v>1024</v>
      </c>
      <c r="AI18" s="2"/>
      <c r="AJ18" s="2">
        <f>+SUMIF($G$8:$AG$8,AJ$8,$G18:$AG18)</f>
        <v>192</v>
      </c>
      <c r="AK18" s="2">
        <f>+SUMIF($G$8:$AG$8,AK$8,$G18:$AG18)</f>
        <v>160</v>
      </c>
      <c r="AL18" s="2">
        <f>+SUMIF($G$8:$AG$8,AL$8,$G18:$AG18)</f>
        <v>152</v>
      </c>
      <c r="AM18" s="2">
        <f>+SUMIF($G$8:$AG$8,AM$8,$G18:$AG18)</f>
        <v>144</v>
      </c>
      <c r="AN18" s="2">
        <f>+SUMIF($G$8:$AG$8,AN$8,$G18:$AG18)</f>
        <v>176</v>
      </c>
      <c r="AO18" s="2">
        <f>+SUMIF($G$8:$AG$8,AO$8,$G18:$AG18)</f>
        <v>160</v>
      </c>
      <c r="AP18" s="2">
        <f>+SUMIF($G$8:$AG$8,AP$8,$G18:$AG18)</f>
        <v>40</v>
      </c>
      <c r="AQ18" s="2">
        <f>+SUM(AJ18:AP18)</f>
        <v>1024</v>
      </c>
      <c r="AR18" s="2"/>
      <c r="AS18" s="55">
        <v>50</v>
      </c>
      <c r="AT18" s="2"/>
      <c r="AU18" s="10">
        <f>+IF(G18&lt;&gt;"",$AS18*G18,0)</f>
        <v>1600</v>
      </c>
      <c r="AV18" s="10">
        <f>+IF(H18&lt;&gt;"",$AS18*H18,0)</f>
        <v>2000</v>
      </c>
      <c r="AW18" s="10">
        <f>+IF(I18&lt;&gt;"",$AS18*I18,0)</f>
        <v>2000</v>
      </c>
      <c r="AX18" s="10">
        <f>+IF(J18&lt;&gt;"",$AS18*J18,0)</f>
        <v>2000</v>
      </c>
      <c r="AY18" s="10">
        <f>+IF(K18&lt;&gt;"",$AS18*K18,0)</f>
        <v>2000</v>
      </c>
      <c r="AZ18" s="10">
        <f>+IF(L18&lt;&gt;"",$AS18*L18,0)</f>
        <v>2000</v>
      </c>
      <c r="BA18" s="10">
        <f>+IF(M18&lt;&gt;"",$AS18*M18,0)</f>
        <v>2000</v>
      </c>
      <c r="BB18" s="10">
        <f>+IF(N18&lt;&gt;"",$AS18*N18,0)</f>
        <v>2000</v>
      </c>
      <c r="BC18" s="10">
        <f>+IF(O18&lt;&gt;"",$AS18*O18,0)</f>
        <v>2000</v>
      </c>
      <c r="BD18" s="10">
        <f>+IF(P18&lt;&gt;"",$AS18*P18,0)</f>
        <v>2000</v>
      </c>
      <c r="BE18" s="10">
        <f>+IF(Q18&lt;&gt;"",$AS18*Q18,0)</f>
        <v>1600</v>
      </c>
      <c r="BF18" s="10">
        <f>+IF(R18&lt;&gt;"",$AS18*R18,0)</f>
        <v>2000</v>
      </c>
      <c r="BG18" s="10">
        <f>+IF(S18&lt;&gt;"",$AS18*S18,0)</f>
        <v>2000</v>
      </c>
      <c r="BH18" s="10">
        <f>+IF(T18&lt;&gt;"",$AS18*T18,0)</f>
        <v>1600</v>
      </c>
      <c r="BI18" s="10">
        <f>+IF(U18&lt;&gt;"",$AS18*U18,0)</f>
        <v>1600</v>
      </c>
      <c r="BJ18" s="10">
        <f>+IF(V18&lt;&gt;"",$AS18*V18,0)</f>
        <v>2000</v>
      </c>
      <c r="BK18" s="10">
        <f>+IF(W18&lt;&gt;"",$AS18*W18,0)</f>
        <v>2000</v>
      </c>
      <c r="BL18" s="10">
        <f>+IF(X18&lt;&gt;"",$AS18*X18,0)</f>
        <v>1600</v>
      </c>
      <c r="BM18" s="10">
        <f>+IF(Y18&lt;&gt;"",$AS18*Y18,0)</f>
        <v>2000</v>
      </c>
      <c r="BN18" s="10">
        <f>+IF(Z18&lt;&gt;"",$AS18*Z18,0)</f>
        <v>1600</v>
      </c>
      <c r="BO18" s="10">
        <f>+IF(AA18&lt;&gt;"",$AS18*AA18,0)</f>
        <v>2000</v>
      </c>
      <c r="BP18" s="10">
        <f>+IF(AB18&lt;&gt;"",$AS18*AB18,0)</f>
        <v>1600</v>
      </c>
      <c r="BQ18" s="10">
        <f>+IF(AC18&lt;&gt;"",$AS18*AC18,0)</f>
        <v>2000</v>
      </c>
      <c r="BR18" s="10">
        <f>+IF(AD18&lt;&gt;"",$AS18*AD18,0)</f>
        <v>2000</v>
      </c>
      <c r="BS18" s="10">
        <f>+IF(AE18&lt;&gt;"",$AS18*AE18,0)</f>
        <v>2000</v>
      </c>
      <c r="BT18" s="10">
        <f>+IF(AF18&lt;&gt;"",$AS18*AF18,0)</f>
        <v>2000</v>
      </c>
      <c r="BU18" s="10">
        <f>+IF(AG18&lt;&gt;"",$AS18*AG18,0)</f>
        <v>2000</v>
      </c>
      <c r="BV18" s="10">
        <f>+SUM(AU18:BU18)</f>
        <v>51200</v>
      </c>
      <c r="BW18" s="10"/>
      <c r="BX18" s="10">
        <f>+SUMIF($AU$8:$BU$8,BX$8,$AU18:$BU18)</f>
        <v>9600</v>
      </c>
      <c r="BY18" s="10">
        <f>+SUMIF($AU$8:$BU$8,BY$8,$AU18:$BU18)</f>
        <v>8000</v>
      </c>
      <c r="BZ18" s="10">
        <f>+SUMIF($AU$8:$BU$8,BZ$8,$AU18:$BU18)</f>
        <v>7600</v>
      </c>
      <c r="CA18" s="10">
        <f>+SUMIF($AU$8:$BU$8,CA$8,$AU18:$BU18)</f>
        <v>7200</v>
      </c>
      <c r="CB18" s="10">
        <f>+SUMIF($AU$8:$BU$8,CB$8,$AU18:$BU18)</f>
        <v>8800</v>
      </c>
      <c r="CC18" s="10">
        <f>+SUMIF($AU$8:$BU$8,CC$8,$AU18:$BU18)</f>
        <v>8000</v>
      </c>
      <c r="CD18" s="10">
        <f>+SUMIF($AU$8:$BU$8,CD$8,$AU18:$BU18)</f>
        <v>2000</v>
      </c>
      <c r="CE18" s="11">
        <f t="shared" si="12"/>
        <v>51200</v>
      </c>
    </row>
    <row r="19" spans="1:83" x14ac:dyDescent="0.2">
      <c r="A19" s="1" t="s">
        <v>67</v>
      </c>
      <c r="B19" s="3" t="s">
        <v>41</v>
      </c>
      <c r="C19" s="3" t="s">
        <v>12</v>
      </c>
      <c r="D19" s="3" t="s">
        <v>10</v>
      </c>
      <c r="E19" s="3" t="s">
        <v>10</v>
      </c>
      <c r="F19" s="3"/>
      <c r="G19" s="2">
        <v>8</v>
      </c>
      <c r="H19" s="2">
        <v>16</v>
      </c>
      <c r="I19" s="2">
        <v>16</v>
      </c>
      <c r="J19" s="2">
        <v>16</v>
      </c>
      <c r="K19" s="2">
        <v>16</v>
      </c>
      <c r="L19" s="2">
        <v>16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16</v>
      </c>
      <c r="AF19" s="2">
        <v>16</v>
      </c>
      <c r="AG19" s="2">
        <v>16</v>
      </c>
      <c r="AH19" s="2">
        <f>+SUM(G19:AG19)</f>
        <v>136</v>
      </c>
      <c r="AI19" s="2"/>
      <c r="AJ19" s="2">
        <f>+SUMIF($G$8:$AG$8,AJ$8,$G19:$AG19)</f>
        <v>72</v>
      </c>
      <c r="AK19" s="2">
        <f>+SUMIF($G$8:$AG$8,AK$8,$G19:$AG19)</f>
        <v>16</v>
      </c>
      <c r="AL19" s="2">
        <f>+SUMIF($G$8:$AG$8,AL$8,$G19:$AG19)</f>
        <v>0</v>
      </c>
      <c r="AM19" s="2">
        <f>+SUMIF($G$8:$AG$8,AM$8,$G19:$AG19)</f>
        <v>0</v>
      </c>
      <c r="AN19" s="2">
        <f>+SUMIF($G$8:$AG$8,AN$8,$G19:$AG19)</f>
        <v>0</v>
      </c>
      <c r="AO19" s="2">
        <f>+SUMIF($G$8:$AG$8,AO$8,$G19:$AG19)</f>
        <v>32</v>
      </c>
      <c r="AP19" s="2">
        <f>+SUMIF($G$8:$AG$8,AP$8,$G19:$AG19)</f>
        <v>16</v>
      </c>
      <c r="AQ19" s="2">
        <f>+SUM(AJ19:AP19)</f>
        <v>136</v>
      </c>
      <c r="AR19" s="2"/>
      <c r="AS19" s="55">
        <v>50</v>
      </c>
      <c r="AT19" s="2"/>
      <c r="AU19" s="10">
        <f>+IF(G19&lt;&gt;"",$AS19*G19,0)</f>
        <v>400</v>
      </c>
      <c r="AV19" s="10">
        <f>+IF(H19&lt;&gt;"",$AS19*H19,0)</f>
        <v>800</v>
      </c>
      <c r="AW19" s="10">
        <f>+IF(I19&lt;&gt;"",$AS19*I19,0)</f>
        <v>800</v>
      </c>
      <c r="AX19" s="10">
        <f>+IF(J19&lt;&gt;"",$AS19*J19,0)</f>
        <v>800</v>
      </c>
      <c r="AY19" s="10">
        <f>+IF(K19&lt;&gt;"",$AS19*K19,0)</f>
        <v>800</v>
      </c>
      <c r="AZ19" s="10">
        <f>+IF(L19&lt;&gt;"",$AS19*L19,0)</f>
        <v>800</v>
      </c>
      <c r="BA19" s="10">
        <f>+IF(M19&lt;&gt;"",$AS19*M19,0)</f>
        <v>0</v>
      </c>
      <c r="BB19" s="10">
        <f>+IF(N19&lt;&gt;"",$AS19*N19,0)</f>
        <v>0</v>
      </c>
      <c r="BC19" s="10">
        <f>+IF(O19&lt;&gt;"",$AS19*O19,0)</f>
        <v>0</v>
      </c>
      <c r="BD19" s="10">
        <f>+IF(P19&lt;&gt;"",$AS19*P19,0)</f>
        <v>0</v>
      </c>
      <c r="BE19" s="10">
        <f>+IF(Q19&lt;&gt;"",$AS19*Q19,0)</f>
        <v>0</v>
      </c>
      <c r="BF19" s="10">
        <f>+IF(R19&lt;&gt;"",$AS19*R19,0)</f>
        <v>0</v>
      </c>
      <c r="BG19" s="10">
        <f>+IF(S19&lt;&gt;"",$AS19*S19,0)</f>
        <v>0</v>
      </c>
      <c r="BH19" s="10">
        <f>+IF(T19&lt;&gt;"",$AS19*T19,0)</f>
        <v>0</v>
      </c>
      <c r="BI19" s="10">
        <f>+IF(U19&lt;&gt;"",$AS19*U19,0)</f>
        <v>0</v>
      </c>
      <c r="BJ19" s="10">
        <f>+IF(V19&lt;&gt;"",$AS19*V19,0)</f>
        <v>0</v>
      </c>
      <c r="BK19" s="10">
        <f>+IF(W19&lt;&gt;"",$AS19*W19,0)</f>
        <v>0</v>
      </c>
      <c r="BL19" s="10">
        <f>+IF(X19&lt;&gt;"",$AS19*X19,0)</f>
        <v>0</v>
      </c>
      <c r="BM19" s="10">
        <f>+IF(Y19&lt;&gt;"",$AS19*Y19,0)</f>
        <v>0</v>
      </c>
      <c r="BN19" s="10">
        <f>+IF(Z19&lt;&gt;"",$AS19*Z19,0)</f>
        <v>0</v>
      </c>
      <c r="BO19" s="10">
        <f>+IF(AA19&lt;&gt;"",$AS19*AA19,0)</f>
        <v>0</v>
      </c>
      <c r="BP19" s="10">
        <f>+IF(AB19&lt;&gt;"",$AS19*AB19,0)</f>
        <v>0</v>
      </c>
      <c r="BQ19" s="10">
        <f>+IF(AC19&lt;&gt;"",$AS19*AC19,0)</f>
        <v>0</v>
      </c>
      <c r="BR19" s="10">
        <f>+IF(AD19&lt;&gt;"",$AS19*AD19,0)</f>
        <v>0</v>
      </c>
      <c r="BS19" s="10">
        <f>+IF(AE19&lt;&gt;"",$AS19*AE19,0)</f>
        <v>800</v>
      </c>
      <c r="BT19" s="10">
        <f>+IF(AF19&lt;&gt;"",$AS19*AF19,0)</f>
        <v>800</v>
      </c>
      <c r="BU19" s="10">
        <f>+IF(AG19&lt;&gt;"",$AS19*AG19,0)</f>
        <v>800</v>
      </c>
      <c r="BV19" s="10">
        <f>+SUM(AU19:BU19)</f>
        <v>6800</v>
      </c>
      <c r="BW19" s="10"/>
      <c r="BX19" s="10">
        <f>+SUMIF($AU$8:$BU$8,BX$8,$AU19:$BU19)</f>
        <v>3600</v>
      </c>
      <c r="BY19" s="10">
        <f>+SUMIF($AU$8:$BU$8,BY$8,$AU19:$BU19)</f>
        <v>800</v>
      </c>
      <c r="BZ19" s="10">
        <f>+SUMIF($AU$8:$BU$8,BZ$8,$AU19:$BU19)</f>
        <v>0</v>
      </c>
      <c r="CA19" s="10">
        <f>+SUMIF($AU$8:$BU$8,CA$8,$AU19:$BU19)</f>
        <v>0</v>
      </c>
      <c r="CB19" s="10">
        <f>+SUMIF($AU$8:$BU$8,CB$8,$AU19:$BU19)</f>
        <v>0</v>
      </c>
      <c r="CC19" s="10">
        <f>+SUMIF($AU$8:$BU$8,CC$8,$AU19:$BU19)</f>
        <v>1600</v>
      </c>
      <c r="CD19" s="10">
        <f>+SUMIF($AU$8:$BU$8,CD$8,$AU19:$BU19)</f>
        <v>800</v>
      </c>
      <c r="CE19" s="11">
        <f t="shared" si="12"/>
        <v>6800</v>
      </c>
    </row>
    <row r="20" spans="1:83" x14ac:dyDescent="0.2">
      <c r="A20" s="1" t="s">
        <v>67</v>
      </c>
      <c r="B20" s="3" t="s">
        <v>42</v>
      </c>
      <c r="C20" s="3" t="s">
        <v>35</v>
      </c>
      <c r="D20" s="3" t="s">
        <v>16</v>
      </c>
      <c r="E20" s="3" t="s">
        <v>21</v>
      </c>
      <c r="F20" s="3"/>
      <c r="G20" s="2">
        <v>24</v>
      </c>
      <c r="H20" s="2">
        <v>32</v>
      </c>
      <c r="I20" s="2">
        <v>32</v>
      </c>
      <c r="J20" s="2">
        <v>32</v>
      </c>
      <c r="K20" s="2">
        <v>32</v>
      </c>
      <c r="L20" s="2">
        <v>32</v>
      </c>
      <c r="M20" s="2">
        <v>32</v>
      </c>
      <c r="N20" s="2">
        <v>32</v>
      </c>
      <c r="O20" s="2">
        <v>32</v>
      </c>
      <c r="P20" s="2">
        <v>32</v>
      </c>
      <c r="Q20" s="2">
        <v>24</v>
      </c>
      <c r="R20" s="2">
        <v>32</v>
      </c>
      <c r="S20" s="2">
        <v>32</v>
      </c>
      <c r="T20" s="2">
        <v>24</v>
      </c>
      <c r="U20" s="2">
        <v>24</v>
      </c>
      <c r="V20" s="2">
        <v>32</v>
      </c>
      <c r="W20" s="2">
        <v>32</v>
      </c>
      <c r="X20" s="2">
        <v>24</v>
      </c>
      <c r="Y20" s="2">
        <v>32</v>
      </c>
      <c r="Z20" s="2">
        <v>24</v>
      </c>
      <c r="AA20" s="2">
        <v>32</v>
      </c>
      <c r="AB20" s="2">
        <v>16</v>
      </c>
      <c r="AC20" s="2">
        <v>24</v>
      </c>
      <c r="AD20" s="2">
        <v>24</v>
      </c>
      <c r="AE20" s="2">
        <v>24</v>
      </c>
      <c r="AF20" s="2">
        <v>24</v>
      </c>
      <c r="AG20" s="2">
        <v>24</v>
      </c>
      <c r="AH20" s="2">
        <f>+SUM(G20:AG20)</f>
        <v>760</v>
      </c>
      <c r="AI20" s="2"/>
      <c r="AJ20" s="2">
        <f>+SUMIF($G$8:$AG$8,AJ$8,$G20:$AG20)</f>
        <v>152</v>
      </c>
      <c r="AK20" s="2">
        <f>+SUMIF($G$8:$AG$8,AK$8,$G20:$AG20)</f>
        <v>128</v>
      </c>
      <c r="AL20" s="2">
        <f>+SUMIF($G$8:$AG$8,AL$8,$G20:$AG20)</f>
        <v>120</v>
      </c>
      <c r="AM20" s="2">
        <f>+SUMIF($G$8:$AG$8,AM$8,$G20:$AG20)</f>
        <v>112</v>
      </c>
      <c r="AN20" s="2">
        <f>+SUMIF($G$8:$AG$8,AN$8,$G20:$AG20)</f>
        <v>128</v>
      </c>
      <c r="AO20" s="2">
        <f>+SUMIF($G$8:$AG$8,AO$8,$G20:$AG20)</f>
        <v>96</v>
      </c>
      <c r="AP20" s="2">
        <f>+SUMIF($G$8:$AG$8,AP$8,$G20:$AG20)</f>
        <v>24</v>
      </c>
      <c r="AQ20" s="2">
        <f>+SUM(AJ20:AP20)</f>
        <v>760</v>
      </c>
      <c r="AR20" s="2"/>
      <c r="AS20" s="55">
        <v>100</v>
      </c>
      <c r="AT20" s="2"/>
      <c r="AU20" s="10">
        <f>+IF(G20&lt;&gt;"",$AS20*G20,0)</f>
        <v>2400</v>
      </c>
      <c r="AV20" s="10">
        <f>+IF(H20&lt;&gt;"",$AS20*H20,0)</f>
        <v>3200</v>
      </c>
      <c r="AW20" s="10">
        <f>+IF(I20&lt;&gt;"",$AS20*I20,0)</f>
        <v>3200</v>
      </c>
      <c r="AX20" s="10">
        <f>+IF(J20&lt;&gt;"",$AS20*J20,0)</f>
        <v>3200</v>
      </c>
      <c r="AY20" s="10">
        <f>+IF(K20&lt;&gt;"",$AS20*K20,0)</f>
        <v>3200</v>
      </c>
      <c r="AZ20" s="10">
        <f>+IF(L20&lt;&gt;"",$AS20*L20,0)</f>
        <v>3200</v>
      </c>
      <c r="BA20" s="10">
        <f>+IF(M20&lt;&gt;"",$AS20*M20,0)</f>
        <v>3200</v>
      </c>
      <c r="BB20" s="10">
        <f>+IF(N20&lt;&gt;"",$AS20*N20,0)</f>
        <v>3200</v>
      </c>
      <c r="BC20" s="10">
        <f>+IF(O20&lt;&gt;"",$AS20*O20,0)</f>
        <v>3200</v>
      </c>
      <c r="BD20" s="10">
        <f>+IF(P20&lt;&gt;"",$AS20*P20,0)</f>
        <v>3200</v>
      </c>
      <c r="BE20" s="10">
        <f>+IF(Q20&lt;&gt;"",$AS20*Q20,0)</f>
        <v>2400</v>
      </c>
      <c r="BF20" s="10">
        <f>+IF(R20&lt;&gt;"",$AS20*R20,0)</f>
        <v>3200</v>
      </c>
      <c r="BG20" s="10">
        <f>+IF(S20&lt;&gt;"",$AS20*S20,0)</f>
        <v>3200</v>
      </c>
      <c r="BH20" s="10">
        <f>+IF(T20&lt;&gt;"",$AS20*T20,0)</f>
        <v>2400</v>
      </c>
      <c r="BI20" s="10">
        <f>+IF(U20&lt;&gt;"",$AS20*U20,0)</f>
        <v>2400</v>
      </c>
      <c r="BJ20" s="10">
        <f>+IF(V20&lt;&gt;"",$AS20*V20,0)</f>
        <v>3200</v>
      </c>
      <c r="BK20" s="10">
        <f>+IF(W20&lt;&gt;"",$AS20*W20,0)</f>
        <v>3200</v>
      </c>
      <c r="BL20" s="10">
        <f>+IF(X20&lt;&gt;"",$AS20*X20,0)</f>
        <v>2400</v>
      </c>
      <c r="BM20" s="10">
        <f>+IF(Y20&lt;&gt;"",$AS20*Y20,0)</f>
        <v>3200</v>
      </c>
      <c r="BN20" s="10">
        <f>+IF(Z20&lt;&gt;"",$AS20*Z20,0)</f>
        <v>2400</v>
      </c>
      <c r="BO20" s="10">
        <f>+IF(AA20&lt;&gt;"",$AS20*AA20,0)</f>
        <v>3200</v>
      </c>
      <c r="BP20" s="10">
        <f>+IF(AB20&lt;&gt;"",$AS20*AB20,0)</f>
        <v>1600</v>
      </c>
      <c r="BQ20" s="10">
        <f>+IF(AC20&lt;&gt;"",$AS20*AC20,0)</f>
        <v>2400</v>
      </c>
      <c r="BR20" s="10">
        <f>+IF(AD20&lt;&gt;"",$AS20*AD20,0)</f>
        <v>2400</v>
      </c>
      <c r="BS20" s="10">
        <f>+IF(AE20&lt;&gt;"",$AS20*AE20,0)</f>
        <v>2400</v>
      </c>
      <c r="BT20" s="10">
        <f>+IF(AF20&lt;&gt;"",$AS20*AF20,0)</f>
        <v>2400</v>
      </c>
      <c r="BU20" s="10">
        <f>+IF(AG20&lt;&gt;"",$AS20*AG20,0)</f>
        <v>2400</v>
      </c>
      <c r="BV20" s="10">
        <f>+SUM(AU20:BU20)</f>
        <v>76000</v>
      </c>
      <c r="BW20" s="10"/>
      <c r="BX20" s="10">
        <f>+SUMIF($AU$8:$BU$8,BX$8,$AU20:$BU20)</f>
        <v>15200</v>
      </c>
      <c r="BY20" s="10">
        <f>+SUMIF($AU$8:$BU$8,BY$8,$AU20:$BU20)</f>
        <v>12800</v>
      </c>
      <c r="BZ20" s="10">
        <f>+SUMIF($AU$8:$BU$8,BZ$8,$AU20:$BU20)</f>
        <v>12000</v>
      </c>
      <c r="CA20" s="10">
        <f>+SUMIF($AU$8:$BU$8,CA$8,$AU20:$BU20)</f>
        <v>11200</v>
      </c>
      <c r="CB20" s="10">
        <f>+SUMIF($AU$8:$BU$8,CB$8,$AU20:$BU20)</f>
        <v>12800</v>
      </c>
      <c r="CC20" s="10">
        <f>+SUMIF($AU$8:$BU$8,CC$8,$AU20:$BU20)</f>
        <v>9600</v>
      </c>
      <c r="CD20" s="10">
        <f>+SUMIF($AU$8:$BU$8,CD$8,$AU20:$BU20)</f>
        <v>2400</v>
      </c>
      <c r="CE20" s="11">
        <f t="shared" si="12"/>
        <v>76000</v>
      </c>
    </row>
    <row r="21" spans="1:83" x14ac:dyDescent="0.2">
      <c r="A21" s="1" t="s">
        <v>67</v>
      </c>
      <c r="B21" s="3" t="s">
        <v>14</v>
      </c>
      <c r="C21" s="3" t="s">
        <v>13</v>
      </c>
      <c r="D21" s="3" t="s">
        <v>16</v>
      </c>
      <c r="E21" s="3" t="s">
        <v>21</v>
      </c>
      <c r="F21" s="3"/>
      <c r="G21" s="2">
        <v>32</v>
      </c>
      <c r="H21" s="2">
        <v>40</v>
      </c>
      <c r="I21" s="2">
        <v>40</v>
      </c>
      <c r="J21" s="2">
        <v>40</v>
      </c>
      <c r="K21" s="2">
        <v>40</v>
      </c>
      <c r="L21" s="2">
        <v>40</v>
      </c>
      <c r="M21" s="2">
        <v>40</v>
      </c>
      <c r="N21" s="2">
        <v>40</v>
      </c>
      <c r="O21" s="2">
        <v>40</v>
      </c>
      <c r="P21" s="2">
        <v>40</v>
      </c>
      <c r="Q21" s="2">
        <v>32</v>
      </c>
      <c r="R21" s="2">
        <v>40</v>
      </c>
      <c r="S21" s="2">
        <v>40</v>
      </c>
      <c r="T21" s="2">
        <v>32</v>
      </c>
      <c r="U21" s="2">
        <v>32</v>
      </c>
      <c r="V21" s="2">
        <v>40</v>
      </c>
      <c r="W21" s="2">
        <v>40</v>
      </c>
      <c r="X21" s="2">
        <v>32</v>
      </c>
      <c r="Y21" s="2">
        <v>40</v>
      </c>
      <c r="Z21" s="2">
        <v>32</v>
      </c>
      <c r="AA21" s="2">
        <v>40</v>
      </c>
      <c r="AB21" s="2">
        <v>32</v>
      </c>
      <c r="AC21" s="2">
        <v>40</v>
      </c>
      <c r="AD21" s="2">
        <v>40</v>
      </c>
      <c r="AE21" s="2">
        <v>40</v>
      </c>
      <c r="AF21" s="2">
        <v>40</v>
      </c>
      <c r="AG21" s="2">
        <v>40</v>
      </c>
      <c r="AH21" s="2">
        <f>+SUM(G21:AG21)</f>
        <v>1024</v>
      </c>
      <c r="AI21" s="2"/>
      <c r="AJ21" s="2">
        <f>+SUMIF($G$8:$AG$8,AJ$8,$G21:$AG21)</f>
        <v>192</v>
      </c>
      <c r="AK21" s="2">
        <f>+SUMIF($G$8:$AG$8,AK$8,$G21:$AG21)</f>
        <v>160</v>
      </c>
      <c r="AL21" s="2">
        <f>+SUMIF($G$8:$AG$8,AL$8,$G21:$AG21)</f>
        <v>152</v>
      </c>
      <c r="AM21" s="2">
        <f>+SUMIF($G$8:$AG$8,AM$8,$G21:$AG21)</f>
        <v>144</v>
      </c>
      <c r="AN21" s="2">
        <f>+SUMIF($G$8:$AG$8,AN$8,$G21:$AG21)</f>
        <v>176</v>
      </c>
      <c r="AO21" s="2">
        <f>+SUMIF($G$8:$AG$8,AO$8,$G21:$AG21)</f>
        <v>160</v>
      </c>
      <c r="AP21" s="2">
        <f>+SUMIF($G$8:$AG$8,AP$8,$G21:$AG21)</f>
        <v>40</v>
      </c>
      <c r="AQ21" s="2">
        <f>+SUM(AJ21:AP21)</f>
        <v>1024</v>
      </c>
      <c r="AR21" s="2"/>
      <c r="AS21" s="55">
        <v>30</v>
      </c>
      <c r="AT21" s="2"/>
      <c r="AU21" s="10">
        <f>+IF(G21&lt;&gt;"",$AS21*G21,0)</f>
        <v>960</v>
      </c>
      <c r="AV21" s="10">
        <f>+IF(H21&lt;&gt;"",$AS21*H21,0)</f>
        <v>1200</v>
      </c>
      <c r="AW21" s="10">
        <f>+IF(I21&lt;&gt;"",$AS21*I21,0)</f>
        <v>1200</v>
      </c>
      <c r="AX21" s="10">
        <f>+IF(J21&lt;&gt;"",$AS21*J21,0)</f>
        <v>1200</v>
      </c>
      <c r="AY21" s="10">
        <f>+IF(K21&lt;&gt;"",$AS21*K21,0)</f>
        <v>1200</v>
      </c>
      <c r="AZ21" s="10">
        <f>+IF(L21&lt;&gt;"",$AS21*L21,0)</f>
        <v>1200</v>
      </c>
      <c r="BA21" s="10">
        <f>+IF(M21&lt;&gt;"",$AS21*M21,0)</f>
        <v>1200</v>
      </c>
      <c r="BB21" s="10">
        <f>+IF(N21&lt;&gt;"",$AS21*N21,0)</f>
        <v>1200</v>
      </c>
      <c r="BC21" s="10">
        <f>+IF(O21&lt;&gt;"",$AS21*O21,0)</f>
        <v>1200</v>
      </c>
      <c r="BD21" s="10">
        <f>+IF(P21&lt;&gt;"",$AS21*P21,0)</f>
        <v>1200</v>
      </c>
      <c r="BE21" s="10">
        <f>+IF(Q21&lt;&gt;"",$AS21*Q21,0)</f>
        <v>960</v>
      </c>
      <c r="BF21" s="10">
        <f>+IF(R21&lt;&gt;"",$AS21*R21,0)</f>
        <v>1200</v>
      </c>
      <c r="BG21" s="10">
        <f>+IF(S21&lt;&gt;"",$AS21*S21,0)</f>
        <v>1200</v>
      </c>
      <c r="BH21" s="10">
        <f>+IF(T21&lt;&gt;"",$AS21*T21,0)</f>
        <v>960</v>
      </c>
      <c r="BI21" s="10">
        <f>+IF(U21&lt;&gt;"",$AS21*U21,0)</f>
        <v>960</v>
      </c>
      <c r="BJ21" s="10">
        <f>+IF(V21&lt;&gt;"",$AS21*V21,0)</f>
        <v>1200</v>
      </c>
      <c r="BK21" s="10">
        <f>+IF(W21&lt;&gt;"",$AS21*W21,0)</f>
        <v>1200</v>
      </c>
      <c r="BL21" s="10">
        <f>+IF(X21&lt;&gt;"",$AS21*X21,0)</f>
        <v>960</v>
      </c>
      <c r="BM21" s="10">
        <f>+IF(Y21&lt;&gt;"",$AS21*Y21,0)</f>
        <v>1200</v>
      </c>
      <c r="BN21" s="10">
        <f>+IF(Z21&lt;&gt;"",$AS21*Z21,0)</f>
        <v>960</v>
      </c>
      <c r="BO21" s="10">
        <f>+IF(AA21&lt;&gt;"",$AS21*AA21,0)</f>
        <v>1200</v>
      </c>
      <c r="BP21" s="10">
        <f>+IF(AB21&lt;&gt;"",$AS21*AB21,0)</f>
        <v>960</v>
      </c>
      <c r="BQ21" s="10">
        <f>+IF(AC21&lt;&gt;"",$AS21*AC21,0)</f>
        <v>1200</v>
      </c>
      <c r="BR21" s="10">
        <f>+IF(AD21&lt;&gt;"",$AS21*AD21,0)</f>
        <v>1200</v>
      </c>
      <c r="BS21" s="10">
        <f>+IF(AE21&lt;&gt;"",$AS21*AE21,0)</f>
        <v>1200</v>
      </c>
      <c r="BT21" s="10">
        <f>+IF(AF21&lt;&gt;"",$AS21*AF21,0)</f>
        <v>1200</v>
      </c>
      <c r="BU21" s="10">
        <f>+IF(AG21&lt;&gt;"",$AS21*AG21,0)</f>
        <v>1200</v>
      </c>
      <c r="BV21" s="10">
        <f>+SUM(AU21:BU21)</f>
        <v>30720</v>
      </c>
      <c r="BW21" s="10"/>
      <c r="BX21" s="10">
        <f>+SUMIF($AU$8:$BU$8,BX$8,$AU21:$BU21)</f>
        <v>5760</v>
      </c>
      <c r="BY21" s="10">
        <f>+SUMIF($AU$8:$BU$8,BY$8,$AU21:$BU21)</f>
        <v>4800</v>
      </c>
      <c r="BZ21" s="10">
        <f>+SUMIF($AU$8:$BU$8,BZ$8,$AU21:$BU21)</f>
        <v>4560</v>
      </c>
      <c r="CA21" s="10">
        <f>+SUMIF($AU$8:$BU$8,CA$8,$AU21:$BU21)</f>
        <v>4320</v>
      </c>
      <c r="CB21" s="10">
        <f>+SUMIF($AU$8:$BU$8,CB$8,$AU21:$BU21)</f>
        <v>5280</v>
      </c>
      <c r="CC21" s="10">
        <f>+SUMIF($AU$8:$BU$8,CC$8,$AU21:$BU21)</f>
        <v>4800</v>
      </c>
      <c r="CD21" s="10">
        <f>+SUMIF($AU$8:$BU$8,CD$8,$AU21:$BU21)</f>
        <v>1200</v>
      </c>
      <c r="CE21" s="11">
        <f>+SUM(BX21:CD21)</f>
        <v>30720</v>
      </c>
    </row>
    <row r="22" spans="1:83" x14ac:dyDescent="0.2">
      <c r="A22" s="1" t="s">
        <v>67</v>
      </c>
      <c r="B22" s="3" t="s">
        <v>43</v>
      </c>
      <c r="C22" s="3" t="s">
        <v>44</v>
      </c>
      <c r="D22" s="3" t="s">
        <v>17</v>
      </c>
      <c r="E22" s="3" t="s">
        <v>21</v>
      </c>
      <c r="F22" s="3"/>
      <c r="G22" s="2">
        <v>32</v>
      </c>
      <c r="H22" s="2">
        <v>40</v>
      </c>
      <c r="I22" s="2">
        <v>40</v>
      </c>
      <c r="J22" s="2">
        <v>40</v>
      </c>
      <c r="K22" s="2">
        <v>40</v>
      </c>
      <c r="L22" s="2">
        <v>40</v>
      </c>
      <c r="M22" s="2">
        <v>40</v>
      </c>
      <c r="N22" s="2">
        <v>40</v>
      </c>
      <c r="O22" s="2">
        <v>40</v>
      </c>
      <c r="P22" s="2">
        <v>40</v>
      </c>
      <c r="Q22" s="2">
        <v>32</v>
      </c>
      <c r="R22" s="2">
        <v>40</v>
      </c>
      <c r="S22" s="2">
        <v>40</v>
      </c>
      <c r="T22" s="2">
        <v>32</v>
      </c>
      <c r="U22" s="2">
        <v>32</v>
      </c>
      <c r="V22" s="2">
        <v>40</v>
      </c>
      <c r="W22" s="2">
        <v>40</v>
      </c>
      <c r="X22" s="2">
        <v>32</v>
      </c>
      <c r="Y22" s="2">
        <v>40</v>
      </c>
      <c r="Z22" s="2">
        <v>32</v>
      </c>
      <c r="AA22" s="2">
        <v>40</v>
      </c>
      <c r="AB22" s="2">
        <v>32</v>
      </c>
      <c r="AC22" s="2">
        <v>40</v>
      </c>
      <c r="AD22" s="2">
        <v>40</v>
      </c>
      <c r="AE22" s="2">
        <v>40</v>
      </c>
      <c r="AF22" s="2">
        <v>40</v>
      </c>
      <c r="AG22" s="2">
        <v>40</v>
      </c>
      <c r="AH22" s="2">
        <f>+SUM(G22:AG22)</f>
        <v>1024</v>
      </c>
      <c r="AI22" s="2"/>
      <c r="AJ22" s="2">
        <f>+SUMIF($G$8:$AG$8,AJ$8,$G22:$AG22)</f>
        <v>192</v>
      </c>
      <c r="AK22" s="2">
        <f>+SUMIF($G$8:$AG$8,AK$8,$G22:$AG22)</f>
        <v>160</v>
      </c>
      <c r="AL22" s="2">
        <f>+SUMIF($G$8:$AG$8,AL$8,$G22:$AG22)</f>
        <v>152</v>
      </c>
      <c r="AM22" s="2">
        <f>+SUMIF($G$8:$AG$8,AM$8,$G22:$AG22)</f>
        <v>144</v>
      </c>
      <c r="AN22" s="2">
        <f>+SUMIF($G$8:$AG$8,AN$8,$G22:$AG22)</f>
        <v>176</v>
      </c>
      <c r="AO22" s="2">
        <f>+SUMIF($G$8:$AG$8,AO$8,$G22:$AG22)</f>
        <v>160</v>
      </c>
      <c r="AP22" s="2">
        <f>+SUMIF($G$8:$AG$8,AP$8,$G22:$AG22)</f>
        <v>40</v>
      </c>
      <c r="AQ22" s="2">
        <f>+SUM(AJ22:AP22)</f>
        <v>1024</v>
      </c>
      <c r="AR22" s="2"/>
      <c r="AS22" s="55">
        <v>100</v>
      </c>
      <c r="AT22" s="2"/>
      <c r="AU22" s="10">
        <f>+IF(G22&lt;&gt;"",$AS22*G22,0)</f>
        <v>3200</v>
      </c>
      <c r="AV22" s="10">
        <f>+IF(H22&lt;&gt;"",$AS22*H22,0)</f>
        <v>4000</v>
      </c>
      <c r="AW22" s="10">
        <f>+IF(I22&lt;&gt;"",$AS22*I22,0)</f>
        <v>4000</v>
      </c>
      <c r="AX22" s="10">
        <f>+IF(J22&lt;&gt;"",$AS22*J22,0)</f>
        <v>4000</v>
      </c>
      <c r="AY22" s="10">
        <f>+IF(K22&lt;&gt;"",$AS22*K22,0)</f>
        <v>4000</v>
      </c>
      <c r="AZ22" s="10">
        <f>+IF(L22&lt;&gt;"",$AS22*L22,0)</f>
        <v>4000</v>
      </c>
      <c r="BA22" s="10">
        <f>+IF(M22&lt;&gt;"",$AS22*M22,0)</f>
        <v>4000</v>
      </c>
      <c r="BB22" s="10">
        <f>+IF(N22&lt;&gt;"",$AS22*N22,0)</f>
        <v>4000</v>
      </c>
      <c r="BC22" s="10">
        <f>+IF(O22&lt;&gt;"",$AS22*O22,0)</f>
        <v>4000</v>
      </c>
      <c r="BD22" s="10">
        <f>+IF(P22&lt;&gt;"",$AS22*P22,0)</f>
        <v>4000</v>
      </c>
      <c r="BE22" s="10">
        <f>+IF(Q22&lt;&gt;"",$AS22*Q22,0)</f>
        <v>3200</v>
      </c>
      <c r="BF22" s="10">
        <f>+IF(R22&lt;&gt;"",$AS22*R22,0)</f>
        <v>4000</v>
      </c>
      <c r="BG22" s="10">
        <f>+IF(S22&lt;&gt;"",$AS22*S22,0)</f>
        <v>4000</v>
      </c>
      <c r="BH22" s="10">
        <f>+IF(T22&lt;&gt;"",$AS22*T22,0)</f>
        <v>3200</v>
      </c>
      <c r="BI22" s="10">
        <f>+IF(U22&lt;&gt;"",$AS22*U22,0)</f>
        <v>3200</v>
      </c>
      <c r="BJ22" s="10">
        <f>+IF(V22&lt;&gt;"",$AS22*V22,0)</f>
        <v>4000</v>
      </c>
      <c r="BK22" s="10">
        <f>+IF(W22&lt;&gt;"",$AS22*W22,0)</f>
        <v>4000</v>
      </c>
      <c r="BL22" s="10">
        <f>+IF(X22&lt;&gt;"",$AS22*X22,0)</f>
        <v>3200</v>
      </c>
      <c r="BM22" s="10">
        <f>+IF(Y22&lt;&gt;"",$AS22*Y22,0)</f>
        <v>4000</v>
      </c>
      <c r="BN22" s="10">
        <f>+IF(Z22&lt;&gt;"",$AS22*Z22,0)</f>
        <v>3200</v>
      </c>
      <c r="BO22" s="10">
        <f>+IF(AA22&lt;&gt;"",$AS22*AA22,0)</f>
        <v>4000</v>
      </c>
      <c r="BP22" s="10">
        <f>+IF(AB22&lt;&gt;"",$AS22*AB22,0)</f>
        <v>3200</v>
      </c>
      <c r="BQ22" s="10">
        <f>+IF(AC22&lt;&gt;"",$AS22*AC22,0)</f>
        <v>4000</v>
      </c>
      <c r="BR22" s="10">
        <f>+IF(AD22&lt;&gt;"",$AS22*AD22,0)</f>
        <v>4000</v>
      </c>
      <c r="BS22" s="10">
        <f>+IF(AE22&lt;&gt;"",$AS22*AE22,0)</f>
        <v>4000</v>
      </c>
      <c r="BT22" s="10">
        <f>+IF(AF22&lt;&gt;"",$AS22*AF22,0)</f>
        <v>4000</v>
      </c>
      <c r="BU22" s="10">
        <f>+IF(AG22&lt;&gt;"",$AS22*AG22,0)</f>
        <v>4000</v>
      </c>
      <c r="BV22" s="10">
        <f>+SUM(AU22:BU22)</f>
        <v>102400</v>
      </c>
      <c r="BW22" s="10"/>
      <c r="BX22" s="10">
        <f>+SUMIF($AU$8:$BU$8,BX$8,$AU22:$BU22)</f>
        <v>19200</v>
      </c>
      <c r="BY22" s="10">
        <f>+SUMIF($AU$8:$BU$8,BY$8,$AU22:$BU22)</f>
        <v>16000</v>
      </c>
      <c r="BZ22" s="10">
        <f>+SUMIF($AU$8:$BU$8,BZ$8,$AU22:$BU22)</f>
        <v>15200</v>
      </c>
      <c r="CA22" s="10">
        <f>+SUMIF($AU$8:$BU$8,CA$8,$AU22:$BU22)</f>
        <v>14400</v>
      </c>
      <c r="CB22" s="10">
        <f>+SUMIF($AU$8:$BU$8,CB$8,$AU22:$BU22)</f>
        <v>17600</v>
      </c>
      <c r="CC22" s="10">
        <f>+SUMIF($AU$8:$BU$8,CC$8,$AU22:$BU22)</f>
        <v>16000</v>
      </c>
      <c r="CD22" s="10">
        <f>+SUMIF($AU$8:$BU$8,CD$8,$AU22:$BU22)</f>
        <v>4000</v>
      </c>
      <c r="CE22" s="11">
        <f>+SUM(BX22:CD22)</f>
        <v>102400</v>
      </c>
    </row>
    <row r="23" spans="1:83" x14ac:dyDescent="0.2">
      <c r="A23" s="75"/>
      <c r="B23" s="76"/>
      <c r="C23" s="77"/>
      <c r="D23" s="76"/>
      <c r="E23" s="76"/>
      <c r="F23" s="79" t="s">
        <v>32</v>
      </c>
      <c r="G23" s="74">
        <f>+SUBTOTAL(9,G$11:G$22)</f>
        <v>264</v>
      </c>
      <c r="H23" s="74">
        <f>+SUBTOTAL(9,H$11:H$22)</f>
        <v>360</v>
      </c>
      <c r="I23" s="74">
        <f>+SUBTOTAL(9,I$11:I$22)</f>
        <v>360</v>
      </c>
      <c r="J23" s="74">
        <f>+SUBTOTAL(9,J$11:J$22)</f>
        <v>360</v>
      </c>
      <c r="K23" s="74">
        <f>+SUBTOTAL(9,K$11:K$22)</f>
        <v>360</v>
      </c>
      <c r="L23" s="74">
        <f>+SUBTOTAL(9,L$11:L$22)</f>
        <v>360</v>
      </c>
      <c r="M23" s="74">
        <f>+SUBTOTAL(9,M$11:M$22)</f>
        <v>344</v>
      </c>
      <c r="N23" s="74">
        <f>+SUBTOTAL(9,N$11:N$22)</f>
        <v>344</v>
      </c>
      <c r="O23" s="74">
        <f>+SUBTOTAL(9,O$11:O$22)</f>
        <v>344</v>
      </c>
      <c r="P23" s="74">
        <f>+SUBTOTAL(9,P$11:P$22)</f>
        <v>344</v>
      </c>
      <c r="Q23" s="74">
        <f>+SUBTOTAL(9,Q$11:Q$22)</f>
        <v>256</v>
      </c>
      <c r="R23" s="74">
        <f>+SUBTOTAL(9,R$11:R$22)</f>
        <v>344</v>
      </c>
      <c r="S23" s="74">
        <f>+SUBTOTAL(9,S$11:S$22)</f>
        <v>344</v>
      </c>
      <c r="T23" s="74">
        <f>+SUBTOTAL(9,T$11:T$22)</f>
        <v>256</v>
      </c>
      <c r="U23" s="74">
        <f>+SUBTOTAL(9,U$11:U$22)</f>
        <v>256</v>
      </c>
      <c r="V23" s="74">
        <f>+SUBTOTAL(9,V$11:V$22)</f>
        <v>344</v>
      </c>
      <c r="W23" s="74">
        <f>+SUBTOTAL(9,W$11:W$22)</f>
        <v>324</v>
      </c>
      <c r="X23" s="74">
        <f>+SUBTOTAL(9,X$11:X$22)</f>
        <v>236</v>
      </c>
      <c r="Y23" s="74">
        <f>+SUBTOTAL(9,Y$11:Y$22)</f>
        <v>324</v>
      </c>
      <c r="Z23" s="74">
        <f>+SUBTOTAL(9,Z$11:Z$22)</f>
        <v>236</v>
      </c>
      <c r="AA23" s="74">
        <f>+SUBTOTAL(9,AA$11:AA$22)</f>
        <v>324</v>
      </c>
      <c r="AB23" s="74">
        <f>+SUBTOTAL(9,AB$11:AB$22)</f>
        <v>228</v>
      </c>
      <c r="AC23" s="74">
        <f>+SUBTOTAL(9,AC$11:AC$22)</f>
        <v>284</v>
      </c>
      <c r="AD23" s="74">
        <f>+SUBTOTAL(9,AD$11:AD$22)</f>
        <v>284</v>
      </c>
      <c r="AE23" s="74">
        <f>+SUBTOTAL(9,AE$11:AE$22)</f>
        <v>300</v>
      </c>
      <c r="AF23" s="74">
        <f>+SUBTOTAL(9,AF$11:AF$22)</f>
        <v>284</v>
      </c>
      <c r="AG23" s="74">
        <f>+SUBTOTAL(9,AG$11:AG$22)</f>
        <v>220</v>
      </c>
      <c r="AH23" s="74">
        <f>+SUBTOTAL(9,AH$11:AH$22)</f>
        <v>8284</v>
      </c>
      <c r="AI23" s="78"/>
      <c r="AJ23" s="74">
        <f>+SUBTOTAL(9,AJ$11:AJ$22)</f>
        <v>1704</v>
      </c>
      <c r="AK23" s="74">
        <f>+SUBTOTAL(9,AK$11:AK$22)</f>
        <v>1392</v>
      </c>
      <c r="AL23" s="74">
        <f>+SUBTOTAL(9,AL$11:AL$22)</f>
        <v>1288</v>
      </c>
      <c r="AM23" s="74">
        <f>+SUBTOTAL(9,AM$11:AM$22)</f>
        <v>1180</v>
      </c>
      <c r="AN23" s="74">
        <f>+SUBTOTAL(9,AN$11:AN$22)</f>
        <v>1348</v>
      </c>
      <c r="AO23" s="74">
        <f>+SUBTOTAL(9,AO$11:AO$22)</f>
        <v>1152</v>
      </c>
      <c r="AP23" s="74">
        <f>+SUBTOTAL(9,AP$11:AP$22)</f>
        <v>220</v>
      </c>
      <c r="AQ23" s="74">
        <f>+SUBTOTAL(9,AQ$11:AQ$22)</f>
        <v>8284</v>
      </c>
      <c r="AR23" s="76"/>
      <c r="AS23" s="76"/>
      <c r="AT23" s="76"/>
      <c r="AU23" s="80">
        <f>+SUBTOTAL(9,AU$11:AU$22)</f>
        <v>18000</v>
      </c>
      <c r="AV23" s="80">
        <f>+SUBTOTAL(9,AV$11:AV$22)</f>
        <v>24080</v>
      </c>
      <c r="AW23" s="80">
        <f>+SUBTOTAL(9,AW$11:AW$22)</f>
        <v>24080</v>
      </c>
      <c r="AX23" s="80">
        <f>+SUBTOTAL(9,AX$11:AX$22)</f>
        <v>24080</v>
      </c>
      <c r="AY23" s="80">
        <f>+SUBTOTAL(9,AY$11:AY$22)</f>
        <v>24080</v>
      </c>
      <c r="AZ23" s="80">
        <f>+SUBTOTAL(9,AZ$11:AZ$22)</f>
        <v>24080</v>
      </c>
      <c r="BA23" s="80">
        <f>+SUBTOTAL(9,BA$11:BA$22)</f>
        <v>23280</v>
      </c>
      <c r="BB23" s="80">
        <f>+SUBTOTAL(9,BB$11:BB$22)</f>
        <v>23280</v>
      </c>
      <c r="BC23" s="80">
        <f>+SUBTOTAL(9,BC$11:BC$22)</f>
        <v>23280</v>
      </c>
      <c r="BD23" s="80">
        <f>+SUBTOTAL(9,BD$11:BD$22)</f>
        <v>23280</v>
      </c>
      <c r="BE23" s="80">
        <f>+SUBTOTAL(9,BE$11:BE$22)</f>
        <v>17600</v>
      </c>
      <c r="BF23" s="80">
        <f>+SUBTOTAL(9,BF$11:BF$22)</f>
        <v>23280</v>
      </c>
      <c r="BG23" s="80">
        <f>+SUBTOTAL(9,BG$11:BG$22)</f>
        <v>23280</v>
      </c>
      <c r="BH23" s="80">
        <f>+SUBTOTAL(9,BH$11:BH$22)</f>
        <v>17600</v>
      </c>
      <c r="BI23" s="80">
        <f>+SUBTOTAL(9,BI$11:BI$22)</f>
        <v>17600</v>
      </c>
      <c r="BJ23" s="80">
        <f>+SUBTOTAL(9,BJ$11:BJ$22)</f>
        <v>23280</v>
      </c>
      <c r="BK23" s="80">
        <f>+SUBTOTAL(9,BK$11:BK$22)</f>
        <v>22280</v>
      </c>
      <c r="BL23" s="80">
        <f>+SUBTOTAL(9,BL$11:BL$22)</f>
        <v>16600</v>
      </c>
      <c r="BM23" s="80">
        <f>+SUBTOTAL(9,BM$11:BM$22)</f>
        <v>22280</v>
      </c>
      <c r="BN23" s="80">
        <f>+SUBTOTAL(9,BN$11:BN$22)</f>
        <v>16600</v>
      </c>
      <c r="BO23" s="80">
        <f>+SUBTOTAL(9,BO$11:BO$22)</f>
        <v>22280</v>
      </c>
      <c r="BP23" s="80">
        <f>+SUBTOTAL(9,BP$11:BP$22)</f>
        <v>15800</v>
      </c>
      <c r="BQ23" s="80">
        <f>+SUBTOTAL(9,BQ$11:BQ$22)</f>
        <v>19080</v>
      </c>
      <c r="BR23" s="80">
        <f>+SUBTOTAL(9,BR$11:BR$22)</f>
        <v>19080</v>
      </c>
      <c r="BS23" s="80">
        <f>+SUBTOTAL(9,BS$11:BS$22)</f>
        <v>19880</v>
      </c>
      <c r="BT23" s="80">
        <f>+SUBTOTAL(9,BT$11:BT$22)</f>
        <v>19240</v>
      </c>
      <c r="BU23" s="80">
        <f>+SUBTOTAL(9,BU$11:BU$22)</f>
        <v>15400</v>
      </c>
      <c r="BV23" s="80">
        <f>+SUBTOTAL(9,BV$11:BV$22)</f>
        <v>562680</v>
      </c>
      <c r="BW23" s="81"/>
      <c r="BX23" s="80">
        <f>+SUBTOTAL(9,BX$11:BX$22)</f>
        <v>114320</v>
      </c>
      <c r="BY23" s="80">
        <f>+SUBTOTAL(9,BY$11:BY$22)</f>
        <v>93920</v>
      </c>
      <c r="BZ23" s="80">
        <f>+SUBTOTAL(9,BZ$11:BZ$22)</f>
        <v>87440</v>
      </c>
      <c r="CA23" s="80">
        <f>+SUBTOTAL(9,CA$11:CA$22)</f>
        <v>80760</v>
      </c>
      <c r="CB23" s="80">
        <f>+SUBTOTAL(9,CB$11:CB$22)</f>
        <v>93560</v>
      </c>
      <c r="CC23" s="80">
        <f>+SUBTOTAL(9,CC$11:CC$22)</f>
        <v>77280</v>
      </c>
      <c r="CD23" s="80">
        <f>+SUBTOTAL(9,CD$11:CD$22)</f>
        <v>15400</v>
      </c>
      <c r="CE23" s="80">
        <f>+SUBTOTAL(9,CE$11:CE$22)</f>
        <v>562680</v>
      </c>
    </row>
    <row r="24" spans="1:83" s="71" customForma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</row>
    <row r="25" spans="1:83" x14ac:dyDescent="0.2">
      <c r="A25" s="1" t="s">
        <v>5</v>
      </c>
      <c r="B25" s="3" t="s">
        <v>37</v>
      </c>
      <c r="C25" s="3" t="s">
        <v>7</v>
      </c>
      <c r="D25" s="3" t="s">
        <v>60</v>
      </c>
      <c r="E25" s="3" t="s">
        <v>6</v>
      </c>
      <c r="F25" s="3"/>
      <c r="G25" s="2">
        <v>32</v>
      </c>
      <c r="H25" s="2">
        <v>40</v>
      </c>
      <c r="I25" s="2">
        <v>40</v>
      </c>
      <c r="J25" s="2">
        <v>40</v>
      </c>
      <c r="K25" s="2">
        <v>40</v>
      </c>
      <c r="L25" s="2">
        <v>40</v>
      </c>
      <c r="M25" s="2">
        <v>40</v>
      </c>
      <c r="N25" s="2">
        <v>40</v>
      </c>
      <c r="O25" s="2">
        <v>40</v>
      </c>
      <c r="P25" s="2">
        <v>40</v>
      </c>
      <c r="Q25" s="2">
        <v>32</v>
      </c>
      <c r="R25" s="2">
        <v>40</v>
      </c>
      <c r="S25" s="2">
        <v>40</v>
      </c>
      <c r="T25" s="2">
        <v>32</v>
      </c>
      <c r="U25" s="2">
        <v>32</v>
      </c>
      <c r="V25" s="2">
        <v>40</v>
      </c>
      <c r="W25" s="2">
        <v>40</v>
      </c>
      <c r="X25" s="2">
        <v>32</v>
      </c>
      <c r="Y25" s="2">
        <v>40</v>
      </c>
      <c r="Z25" s="2">
        <v>32</v>
      </c>
      <c r="AA25" s="2">
        <v>40</v>
      </c>
      <c r="AB25" s="2">
        <v>32</v>
      </c>
      <c r="AC25" s="2">
        <v>40</v>
      </c>
      <c r="AD25" s="2">
        <v>40</v>
      </c>
      <c r="AE25" s="2">
        <v>40</v>
      </c>
      <c r="AF25" s="2">
        <v>40</v>
      </c>
      <c r="AG25" s="2">
        <v>40</v>
      </c>
      <c r="AH25" s="2">
        <f>+SUM(G25:AG25)</f>
        <v>1024</v>
      </c>
      <c r="AI25" s="2"/>
      <c r="AJ25" s="2">
        <f>+SUMIF($G$8:$AG$8,AJ$8,$G25:$AG25)</f>
        <v>192</v>
      </c>
      <c r="AK25" s="2">
        <f t="shared" ref="AK25:AP25" si="13">+SUMIF($G$8:$AG$8,AK$8,$G25:$AG25)</f>
        <v>160</v>
      </c>
      <c r="AL25" s="2">
        <f t="shared" si="13"/>
        <v>152</v>
      </c>
      <c r="AM25" s="2">
        <f t="shared" si="13"/>
        <v>144</v>
      </c>
      <c r="AN25" s="2">
        <f t="shared" si="13"/>
        <v>176</v>
      </c>
      <c r="AO25" s="2">
        <f t="shared" si="13"/>
        <v>160</v>
      </c>
      <c r="AP25" s="2">
        <f t="shared" si="13"/>
        <v>40</v>
      </c>
      <c r="AQ25" s="2">
        <f>+SUM(AJ25:AP25)</f>
        <v>1024</v>
      </c>
      <c r="AR25" s="2"/>
      <c r="AS25" s="55">
        <v>100</v>
      </c>
      <c r="AT25" s="2"/>
      <c r="AU25" s="10">
        <f>+IF(G25&lt;&gt;"",$AS25*G25,0)</f>
        <v>3200</v>
      </c>
      <c r="AV25" s="10">
        <f>+IF(H25&lt;&gt;"",$AS25*H25,0)</f>
        <v>4000</v>
      </c>
      <c r="AW25" s="10">
        <f>+IF(I25&lt;&gt;"",$AS25*I25,0)</f>
        <v>4000</v>
      </c>
      <c r="AX25" s="10">
        <f>+IF(J25&lt;&gt;"",$AS25*J25,0)</f>
        <v>4000</v>
      </c>
      <c r="AY25" s="10">
        <f>+IF(K25&lt;&gt;"",$AS25*K25,0)</f>
        <v>4000</v>
      </c>
      <c r="AZ25" s="10">
        <f>+IF(L25&lt;&gt;"",$AS25*L25,0)</f>
        <v>4000</v>
      </c>
      <c r="BA25" s="10">
        <f>+IF(M25&lt;&gt;"",$AS25*M25,0)</f>
        <v>4000</v>
      </c>
      <c r="BB25" s="10">
        <f>+IF(N25&lt;&gt;"",$AS25*N25,0)</f>
        <v>4000</v>
      </c>
      <c r="BC25" s="10">
        <f>+IF(O25&lt;&gt;"",$AS25*O25,0)</f>
        <v>4000</v>
      </c>
      <c r="BD25" s="10">
        <f>+IF(P25&lt;&gt;"",$AS25*P25,0)</f>
        <v>4000</v>
      </c>
      <c r="BE25" s="10">
        <f>+IF(Q25&lt;&gt;"",$AS25*Q25,0)</f>
        <v>3200</v>
      </c>
      <c r="BF25" s="10">
        <f>+IF(R25&lt;&gt;"",$AS25*R25,0)</f>
        <v>4000</v>
      </c>
      <c r="BG25" s="10">
        <f>+IF(S25&lt;&gt;"",$AS25*S25,0)</f>
        <v>4000</v>
      </c>
      <c r="BH25" s="10">
        <f>+IF(T25&lt;&gt;"",$AS25*T25,0)</f>
        <v>3200</v>
      </c>
      <c r="BI25" s="10">
        <f>+IF(U25&lt;&gt;"",$AS25*U25,0)</f>
        <v>3200</v>
      </c>
      <c r="BJ25" s="10">
        <f>+IF(V25&lt;&gt;"",$AS25*V25,0)</f>
        <v>4000</v>
      </c>
      <c r="BK25" s="10">
        <f>+IF(W25&lt;&gt;"",$AS25*W25,0)</f>
        <v>4000</v>
      </c>
      <c r="BL25" s="10">
        <f>+IF(X25&lt;&gt;"",$AS25*X25,0)</f>
        <v>3200</v>
      </c>
      <c r="BM25" s="10">
        <f>+IF(Y25&lt;&gt;"",$AS25*Y25,0)</f>
        <v>4000</v>
      </c>
      <c r="BN25" s="10">
        <f>+IF(Z25&lt;&gt;"",$AS25*Z25,0)</f>
        <v>3200</v>
      </c>
      <c r="BO25" s="10">
        <f>+IF(AA25&lt;&gt;"",$AS25*AA25,0)</f>
        <v>4000</v>
      </c>
      <c r="BP25" s="10">
        <f>+IF(AB25&lt;&gt;"",$AS25*AB25,0)</f>
        <v>3200</v>
      </c>
      <c r="BQ25" s="10">
        <f>+IF(AC25&lt;&gt;"",$AS25*AC25,0)</f>
        <v>4000</v>
      </c>
      <c r="BR25" s="10">
        <f>+IF(AD25&lt;&gt;"",$AS25*AD25,0)</f>
        <v>4000</v>
      </c>
      <c r="BS25" s="10">
        <f>+IF(AE25&lt;&gt;"",$AS25*AE25,0)</f>
        <v>4000</v>
      </c>
      <c r="BT25" s="10">
        <f>+IF(AF25&lt;&gt;"",$AS25*AF25,0)</f>
        <v>4000</v>
      </c>
      <c r="BU25" s="10">
        <f>+IF(AG25&lt;&gt;"",$AS25*AG25,0)</f>
        <v>4000</v>
      </c>
      <c r="BV25" s="10">
        <f>+SUM(AU25:BU25)</f>
        <v>102400</v>
      </c>
      <c r="BW25" s="10"/>
      <c r="BX25" s="10">
        <f>+SUMIF($AU$8:$BU$8,BX$8,$AU25:$BU25)</f>
        <v>19200</v>
      </c>
      <c r="BY25" s="10">
        <f t="shared" ref="BY25:CD36" si="14">+SUMIF($AU$8:$BU$8,BY$8,$AU25:$BU25)</f>
        <v>16000</v>
      </c>
      <c r="BZ25" s="10">
        <f t="shared" si="14"/>
        <v>15200</v>
      </c>
      <c r="CA25" s="10">
        <f t="shared" si="14"/>
        <v>14400</v>
      </c>
      <c r="CB25" s="10">
        <f t="shared" si="14"/>
        <v>17600</v>
      </c>
      <c r="CC25" s="10">
        <f t="shared" si="14"/>
        <v>16000</v>
      </c>
      <c r="CD25" s="10">
        <f t="shared" si="14"/>
        <v>4000</v>
      </c>
      <c r="CE25" s="11">
        <f>+SUM(BX25:CD25)</f>
        <v>102400</v>
      </c>
    </row>
    <row r="26" spans="1:83" x14ac:dyDescent="0.2">
      <c r="A26" s="1" t="s">
        <v>5</v>
      </c>
      <c r="B26" s="3" t="s">
        <v>38</v>
      </c>
      <c r="C26" s="3" t="s">
        <v>8</v>
      </c>
      <c r="D26" s="3" t="s">
        <v>61</v>
      </c>
      <c r="E26" s="3" t="s">
        <v>6</v>
      </c>
      <c r="F26" s="3"/>
      <c r="G26" s="2">
        <v>32</v>
      </c>
      <c r="H26" s="2">
        <v>40</v>
      </c>
      <c r="I26" s="2">
        <v>40</v>
      </c>
      <c r="J26" s="2">
        <v>40</v>
      </c>
      <c r="K26" s="2">
        <v>40</v>
      </c>
      <c r="L26" s="2">
        <v>40</v>
      </c>
      <c r="M26" s="2">
        <v>40</v>
      </c>
      <c r="N26" s="2">
        <v>40</v>
      </c>
      <c r="O26" s="2">
        <v>40</v>
      </c>
      <c r="P26" s="2">
        <v>40</v>
      </c>
      <c r="Q26" s="2">
        <v>32</v>
      </c>
      <c r="R26" s="2">
        <v>40</v>
      </c>
      <c r="S26" s="2">
        <v>40</v>
      </c>
      <c r="T26" s="2">
        <v>32</v>
      </c>
      <c r="U26" s="2">
        <v>32</v>
      </c>
      <c r="V26" s="2">
        <v>40</v>
      </c>
      <c r="W26" s="2">
        <v>20</v>
      </c>
      <c r="X26" s="2">
        <v>12</v>
      </c>
      <c r="Y26" s="2">
        <v>20</v>
      </c>
      <c r="Z26" s="2">
        <v>12</v>
      </c>
      <c r="AA26" s="2">
        <v>20</v>
      </c>
      <c r="AB26" s="2">
        <v>12</v>
      </c>
      <c r="AC26" s="2">
        <v>20</v>
      </c>
      <c r="AD26" s="2">
        <v>20</v>
      </c>
      <c r="AE26" s="2">
        <v>20</v>
      </c>
      <c r="AF26" s="2">
        <v>20</v>
      </c>
      <c r="AG26" s="2">
        <v>20</v>
      </c>
      <c r="AH26" s="2">
        <f t="shared" ref="AH26:AH50" si="15">+SUM(G26:AG26)</f>
        <v>804</v>
      </c>
      <c r="AI26" s="2"/>
      <c r="AJ26" s="2">
        <f>+SUMIF($G$8:$AG$8,AJ$8,$G26:$AG26)</f>
        <v>192</v>
      </c>
      <c r="AK26" s="2">
        <f>+SUMIF($G$8:$AG$8,AK$8,$G26:$AG26)</f>
        <v>160</v>
      </c>
      <c r="AL26" s="2">
        <f>+SUMIF($G$8:$AG$8,AL$8,$G26:$AG26)</f>
        <v>152</v>
      </c>
      <c r="AM26" s="2">
        <f>+SUMIF($G$8:$AG$8,AM$8,$G26:$AG26)</f>
        <v>124</v>
      </c>
      <c r="AN26" s="2">
        <f>+SUMIF($G$8:$AG$8,AN$8,$G26:$AG26)</f>
        <v>76</v>
      </c>
      <c r="AO26" s="2">
        <f>+SUMIF($G$8:$AG$8,AO$8,$G26:$AG26)</f>
        <v>80</v>
      </c>
      <c r="AP26" s="2">
        <f>+SUMIF($G$8:$AG$8,AP$8,$G26:$AG26)</f>
        <v>20</v>
      </c>
      <c r="AQ26" s="2">
        <f t="shared" ref="AQ26:AQ50" si="16">+SUM(AJ26:AP26)</f>
        <v>804</v>
      </c>
      <c r="AR26" s="2"/>
      <c r="AS26" s="55">
        <v>50</v>
      </c>
      <c r="AT26" s="2"/>
      <c r="AU26" s="10">
        <f>+IF(G26&lt;&gt;"",$AS26*G26,0)</f>
        <v>1600</v>
      </c>
      <c r="AV26" s="10">
        <f>+IF(H26&lt;&gt;"",$AS26*H26,0)</f>
        <v>2000</v>
      </c>
      <c r="AW26" s="10">
        <f>+IF(I26&lt;&gt;"",$AS26*I26,0)</f>
        <v>2000</v>
      </c>
      <c r="AX26" s="10">
        <f>+IF(J26&lt;&gt;"",$AS26*J26,0)</f>
        <v>2000</v>
      </c>
      <c r="AY26" s="10">
        <f>+IF(K26&lt;&gt;"",$AS26*K26,0)</f>
        <v>2000</v>
      </c>
      <c r="AZ26" s="10">
        <f>+IF(L26&lt;&gt;"",$AS26*L26,0)</f>
        <v>2000</v>
      </c>
      <c r="BA26" s="10">
        <f>+IF(M26&lt;&gt;"",$AS26*M26,0)</f>
        <v>2000</v>
      </c>
      <c r="BB26" s="10">
        <f>+IF(N26&lt;&gt;"",$AS26*N26,0)</f>
        <v>2000</v>
      </c>
      <c r="BC26" s="10">
        <f>+IF(O26&lt;&gt;"",$AS26*O26,0)</f>
        <v>2000</v>
      </c>
      <c r="BD26" s="10">
        <f>+IF(P26&lt;&gt;"",$AS26*P26,0)</f>
        <v>2000</v>
      </c>
      <c r="BE26" s="10">
        <f>+IF(Q26&lt;&gt;"",$AS26*Q26,0)</f>
        <v>1600</v>
      </c>
      <c r="BF26" s="10">
        <f>+IF(R26&lt;&gt;"",$AS26*R26,0)</f>
        <v>2000</v>
      </c>
      <c r="BG26" s="10">
        <f>+IF(S26&lt;&gt;"",$AS26*S26,0)</f>
        <v>2000</v>
      </c>
      <c r="BH26" s="10">
        <f>+IF(T26&lt;&gt;"",$AS26*T26,0)</f>
        <v>1600</v>
      </c>
      <c r="BI26" s="10">
        <f>+IF(U26&lt;&gt;"",$AS26*U26,0)</f>
        <v>1600</v>
      </c>
      <c r="BJ26" s="10">
        <f>+IF(V26&lt;&gt;"",$AS26*V26,0)</f>
        <v>2000</v>
      </c>
      <c r="BK26" s="10">
        <f>+IF(W26&lt;&gt;"",$AS26*W26,0)</f>
        <v>1000</v>
      </c>
      <c r="BL26" s="10">
        <f>+IF(X26&lt;&gt;"",$AS26*X26,0)</f>
        <v>600</v>
      </c>
      <c r="BM26" s="10">
        <f>+IF(Y26&lt;&gt;"",$AS26*Y26,0)</f>
        <v>1000</v>
      </c>
      <c r="BN26" s="10">
        <f>+IF(Z26&lt;&gt;"",$AS26*Z26,0)</f>
        <v>600</v>
      </c>
      <c r="BO26" s="10">
        <f>+IF(AA26&lt;&gt;"",$AS26*AA26,0)</f>
        <v>1000</v>
      </c>
      <c r="BP26" s="10">
        <f>+IF(AB26&lt;&gt;"",$AS26*AB26,0)</f>
        <v>600</v>
      </c>
      <c r="BQ26" s="10">
        <f>+IF(AC26&lt;&gt;"",$AS26*AC26,0)</f>
        <v>1000</v>
      </c>
      <c r="BR26" s="10">
        <f>+IF(AD26&lt;&gt;"",$AS26*AD26,0)</f>
        <v>1000</v>
      </c>
      <c r="BS26" s="10">
        <f>+IF(AE26&lt;&gt;"",$AS26*AE26,0)</f>
        <v>1000</v>
      </c>
      <c r="BT26" s="10">
        <f>+IF(AF26&lt;&gt;"",$AS26*AF26,0)</f>
        <v>1000</v>
      </c>
      <c r="BU26" s="10">
        <f>+IF(AG26&lt;&gt;"",$AS26*AG26,0)</f>
        <v>1000</v>
      </c>
      <c r="BV26" s="10">
        <f t="shared" ref="BV26:BV50" si="17">+SUM(AU26:BU26)</f>
        <v>40200</v>
      </c>
      <c r="BW26" s="10"/>
      <c r="BX26" s="10">
        <f t="shared" ref="BX26:BX36" si="18">+SUMIF($AU$8:$BU$8,BX$8,$AU26:$BU26)</f>
        <v>9600</v>
      </c>
      <c r="BY26" s="10">
        <f t="shared" si="14"/>
        <v>8000</v>
      </c>
      <c r="BZ26" s="10">
        <f t="shared" si="14"/>
        <v>7600</v>
      </c>
      <c r="CA26" s="10">
        <f t="shared" si="14"/>
        <v>6200</v>
      </c>
      <c r="CB26" s="10">
        <f t="shared" si="14"/>
        <v>3800</v>
      </c>
      <c r="CC26" s="10">
        <f t="shared" si="14"/>
        <v>4000</v>
      </c>
      <c r="CD26" s="10">
        <f t="shared" si="14"/>
        <v>1000</v>
      </c>
      <c r="CE26" s="11">
        <f t="shared" ref="CE26:CE36" si="19">+SUM(BX26:CD26)</f>
        <v>40200</v>
      </c>
    </row>
    <row r="27" spans="1:83" x14ac:dyDescent="0.2">
      <c r="A27" s="1" t="s">
        <v>5</v>
      </c>
      <c r="B27" s="3" t="s">
        <v>39</v>
      </c>
      <c r="C27" s="3" t="s">
        <v>9</v>
      </c>
      <c r="D27" s="3" t="s">
        <v>62</v>
      </c>
      <c r="E27" s="3" t="s">
        <v>6</v>
      </c>
      <c r="F27" s="3"/>
      <c r="G27" s="2">
        <v>8</v>
      </c>
      <c r="H27" s="2">
        <v>16</v>
      </c>
      <c r="I27" s="2">
        <v>16</v>
      </c>
      <c r="J27" s="2">
        <v>16</v>
      </c>
      <c r="K27" s="2">
        <v>16</v>
      </c>
      <c r="L27" s="2">
        <v>16</v>
      </c>
      <c r="M27" s="2">
        <v>16</v>
      </c>
      <c r="N27" s="2">
        <v>16</v>
      </c>
      <c r="O27" s="2">
        <v>16</v>
      </c>
      <c r="P27" s="2">
        <v>16</v>
      </c>
      <c r="Q27" s="2">
        <v>8</v>
      </c>
      <c r="R27" s="2">
        <v>16</v>
      </c>
      <c r="S27" s="2">
        <v>16</v>
      </c>
      <c r="T27" s="2">
        <v>8</v>
      </c>
      <c r="U27" s="2">
        <v>8</v>
      </c>
      <c r="V27" s="2">
        <v>16</v>
      </c>
      <c r="W27" s="2">
        <v>16</v>
      </c>
      <c r="X27" s="2">
        <v>8</v>
      </c>
      <c r="Y27" s="2">
        <v>16</v>
      </c>
      <c r="Z27" s="2">
        <v>8</v>
      </c>
      <c r="AA27" s="2">
        <v>16</v>
      </c>
      <c r="AB27" s="2">
        <v>8</v>
      </c>
      <c r="AC27" s="2">
        <v>16</v>
      </c>
      <c r="AD27" s="2">
        <v>16</v>
      </c>
      <c r="AE27" s="2">
        <v>16</v>
      </c>
      <c r="AF27" s="2">
        <v>0</v>
      </c>
      <c r="AG27" s="2">
        <v>0</v>
      </c>
      <c r="AH27" s="2">
        <f t="shared" si="15"/>
        <v>344</v>
      </c>
      <c r="AI27" s="2"/>
      <c r="AJ27" s="2">
        <f>+SUMIF($G$8:$AG$8,AJ$8,$G27:$AG27)</f>
        <v>72</v>
      </c>
      <c r="AK27" s="2">
        <f>+SUMIF($G$8:$AG$8,AK$8,$G27:$AG27)</f>
        <v>64</v>
      </c>
      <c r="AL27" s="2">
        <f>+SUMIF($G$8:$AG$8,AL$8,$G27:$AG27)</f>
        <v>56</v>
      </c>
      <c r="AM27" s="2">
        <f>+SUMIF($G$8:$AG$8,AM$8,$G27:$AG27)</f>
        <v>48</v>
      </c>
      <c r="AN27" s="2">
        <f>+SUMIF($G$8:$AG$8,AN$8,$G27:$AG27)</f>
        <v>56</v>
      </c>
      <c r="AO27" s="2">
        <f>+SUMIF($G$8:$AG$8,AO$8,$G27:$AG27)</f>
        <v>48</v>
      </c>
      <c r="AP27" s="2">
        <f>+SUMIF($G$8:$AG$8,AP$8,$G27:$AG27)</f>
        <v>0</v>
      </c>
      <c r="AQ27" s="2">
        <f t="shared" si="16"/>
        <v>344</v>
      </c>
      <c r="AR27" s="2"/>
      <c r="AS27" s="55">
        <v>40</v>
      </c>
      <c r="AT27" s="2"/>
      <c r="AU27" s="10">
        <f>+IF(G27&lt;&gt;"",$AS27*G27,0)</f>
        <v>320</v>
      </c>
      <c r="AV27" s="10">
        <f>+IF(H27&lt;&gt;"",$AS27*H27,0)</f>
        <v>640</v>
      </c>
      <c r="AW27" s="10">
        <f>+IF(I27&lt;&gt;"",$AS27*I27,0)</f>
        <v>640</v>
      </c>
      <c r="AX27" s="10">
        <f>+IF(J27&lt;&gt;"",$AS27*J27,0)</f>
        <v>640</v>
      </c>
      <c r="AY27" s="10">
        <f>+IF(K27&lt;&gt;"",$AS27*K27,0)</f>
        <v>640</v>
      </c>
      <c r="AZ27" s="10">
        <f>+IF(L27&lt;&gt;"",$AS27*L27,0)</f>
        <v>640</v>
      </c>
      <c r="BA27" s="10">
        <f>+IF(M27&lt;&gt;"",$AS27*M27,0)</f>
        <v>640</v>
      </c>
      <c r="BB27" s="10">
        <f>+IF(N27&lt;&gt;"",$AS27*N27,0)</f>
        <v>640</v>
      </c>
      <c r="BC27" s="10">
        <f>+IF(O27&lt;&gt;"",$AS27*O27,0)</f>
        <v>640</v>
      </c>
      <c r="BD27" s="10">
        <f>+IF(P27&lt;&gt;"",$AS27*P27,0)</f>
        <v>640</v>
      </c>
      <c r="BE27" s="10">
        <f>+IF(Q27&lt;&gt;"",$AS27*Q27,0)</f>
        <v>320</v>
      </c>
      <c r="BF27" s="10">
        <f>+IF(R27&lt;&gt;"",$AS27*R27,0)</f>
        <v>640</v>
      </c>
      <c r="BG27" s="10">
        <f>+IF(S27&lt;&gt;"",$AS27*S27,0)</f>
        <v>640</v>
      </c>
      <c r="BH27" s="10">
        <f>+IF(T27&lt;&gt;"",$AS27*T27,0)</f>
        <v>320</v>
      </c>
      <c r="BI27" s="10">
        <f>+IF(U27&lt;&gt;"",$AS27*U27,0)</f>
        <v>320</v>
      </c>
      <c r="BJ27" s="10">
        <f>+IF(V27&lt;&gt;"",$AS27*V27,0)</f>
        <v>640</v>
      </c>
      <c r="BK27" s="10">
        <f>+IF(W27&lt;&gt;"",$AS27*W27,0)</f>
        <v>640</v>
      </c>
      <c r="BL27" s="10">
        <f>+IF(X27&lt;&gt;"",$AS27*X27,0)</f>
        <v>320</v>
      </c>
      <c r="BM27" s="10">
        <f>+IF(Y27&lt;&gt;"",$AS27*Y27,0)</f>
        <v>640</v>
      </c>
      <c r="BN27" s="10">
        <f>+IF(Z27&lt;&gt;"",$AS27*Z27,0)</f>
        <v>320</v>
      </c>
      <c r="BO27" s="10">
        <f>+IF(AA27&lt;&gt;"",$AS27*AA27,0)</f>
        <v>640</v>
      </c>
      <c r="BP27" s="10">
        <f>+IF(AB27&lt;&gt;"",$AS27*AB27,0)</f>
        <v>320</v>
      </c>
      <c r="BQ27" s="10">
        <f>+IF(AC27&lt;&gt;"",$AS27*AC27,0)</f>
        <v>640</v>
      </c>
      <c r="BR27" s="10">
        <f>+IF(AD27&lt;&gt;"",$AS27*AD27,0)</f>
        <v>640</v>
      </c>
      <c r="BS27" s="10">
        <f>+IF(AE27&lt;&gt;"",$AS27*AE27,0)</f>
        <v>640</v>
      </c>
      <c r="BT27" s="10">
        <f>+IF(AF27&lt;&gt;"",$AS27*AF27,0)</f>
        <v>0</v>
      </c>
      <c r="BU27" s="10">
        <f>+IF(AG27&lt;&gt;"",$AS27*AG27,0)</f>
        <v>0</v>
      </c>
      <c r="BV27" s="10">
        <f t="shared" si="17"/>
        <v>13760</v>
      </c>
      <c r="BW27" s="10"/>
      <c r="BX27" s="10">
        <f>+SUMIF($AU$8:$BU$8,BX$8,$AU27:$BU27)</f>
        <v>2880</v>
      </c>
      <c r="BY27" s="10">
        <f t="shared" si="14"/>
        <v>2560</v>
      </c>
      <c r="BZ27" s="10">
        <f t="shared" si="14"/>
        <v>2240</v>
      </c>
      <c r="CA27" s="10">
        <f t="shared" si="14"/>
        <v>1920</v>
      </c>
      <c r="CB27" s="10">
        <f t="shared" si="14"/>
        <v>2240</v>
      </c>
      <c r="CC27" s="10">
        <f t="shared" si="14"/>
        <v>1920</v>
      </c>
      <c r="CD27" s="10">
        <f t="shared" si="14"/>
        <v>0</v>
      </c>
      <c r="CE27" s="11">
        <f t="shared" si="19"/>
        <v>13760</v>
      </c>
    </row>
    <row r="28" spans="1:83" x14ac:dyDescent="0.2">
      <c r="A28" s="1" t="s">
        <v>5</v>
      </c>
      <c r="B28" s="3" t="s">
        <v>50</v>
      </c>
      <c r="C28" s="3" t="s">
        <v>45</v>
      </c>
      <c r="D28" s="3" t="s">
        <v>63</v>
      </c>
      <c r="E28" s="3" t="s">
        <v>6</v>
      </c>
      <c r="F28" s="3"/>
      <c r="G28" s="2">
        <v>24</v>
      </c>
      <c r="H28" s="2">
        <v>32</v>
      </c>
      <c r="I28" s="2">
        <v>32</v>
      </c>
      <c r="J28" s="2">
        <v>32</v>
      </c>
      <c r="K28" s="2">
        <v>32</v>
      </c>
      <c r="L28" s="2">
        <v>32</v>
      </c>
      <c r="M28" s="2">
        <v>32</v>
      </c>
      <c r="N28" s="2">
        <v>32</v>
      </c>
      <c r="O28" s="2">
        <v>32</v>
      </c>
      <c r="P28" s="2">
        <v>32</v>
      </c>
      <c r="Q28" s="2">
        <v>24</v>
      </c>
      <c r="R28" s="2">
        <v>32</v>
      </c>
      <c r="S28" s="2">
        <v>32</v>
      </c>
      <c r="T28" s="2">
        <v>24</v>
      </c>
      <c r="U28" s="2">
        <v>24</v>
      </c>
      <c r="V28" s="2">
        <v>32</v>
      </c>
      <c r="W28" s="2">
        <v>32</v>
      </c>
      <c r="X28" s="2">
        <v>24</v>
      </c>
      <c r="Y28" s="2">
        <v>32</v>
      </c>
      <c r="Z28" s="2">
        <v>32</v>
      </c>
      <c r="AA28" s="2">
        <v>32</v>
      </c>
      <c r="AB28" s="2">
        <v>32</v>
      </c>
      <c r="AC28" s="2">
        <v>32</v>
      </c>
      <c r="AD28" s="2">
        <v>16</v>
      </c>
      <c r="AE28" s="2">
        <v>16</v>
      </c>
      <c r="AF28" s="2">
        <v>8</v>
      </c>
      <c r="AG28" s="2">
        <v>8</v>
      </c>
      <c r="AH28" s="2">
        <f t="shared" si="15"/>
        <v>744</v>
      </c>
      <c r="AI28" s="2"/>
      <c r="AJ28" s="2">
        <f>+SUMIF($G$8:$AG$8,AJ$8,$G28:$AG28)</f>
        <v>152</v>
      </c>
      <c r="AK28" s="2">
        <f>+SUMIF($G$8:$AG$8,AK$8,$G28:$AG28)</f>
        <v>128</v>
      </c>
      <c r="AL28" s="2">
        <f>+SUMIF($G$8:$AG$8,AL$8,$G28:$AG28)</f>
        <v>120</v>
      </c>
      <c r="AM28" s="2">
        <f>+SUMIF($G$8:$AG$8,AM$8,$G28:$AG28)</f>
        <v>112</v>
      </c>
      <c r="AN28" s="2">
        <f>+SUMIF($G$8:$AG$8,AN$8,$G28:$AG28)</f>
        <v>152</v>
      </c>
      <c r="AO28" s="2">
        <f>+SUMIF($G$8:$AG$8,AO$8,$G28:$AG28)</f>
        <v>72</v>
      </c>
      <c r="AP28" s="2">
        <f>+SUMIF($G$8:$AG$8,AP$8,$G28:$AG28)</f>
        <v>8</v>
      </c>
      <c r="AQ28" s="2">
        <f t="shared" si="16"/>
        <v>744</v>
      </c>
      <c r="AR28" s="2"/>
      <c r="AS28" s="55">
        <v>50</v>
      </c>
      <c r="AT28" s="2"/>
      <c r="AU28" s="10">
        <f>+IF(G28&lt;&gt;"",$AS28*G28,0)</f>
        <v>1200</v>
      </c>
      <c r="AV28" s="10">
        <f>+IF(H28&lt;&gt;"",$AS28*H28,0)</f>
        <v>1600</v>
      </c>
      <c r="AW28" s="10">
        <f>+IF(I28&lt;&gt;"",$AS28*I28,0)</f>
        <v>1600</v>
      </c>
      <c r="AX28" s="10">
        <f>+IF(J28&lt;&gt;"",$AS28*J28,0)</f>
        <v>1600</v>
      </c>
      <c r="AY28" s="10">
        <f>+IF(K28&lt;&gt;"",$AS28*K28,0)</f>
        <v>1600</v>
      </c>
      <c r="AZ28" s="10">
        <f>+IF(L28&lt;&gt;"",$AS28*L28,0)</f>
        <v>1600</v>
      </c>
      <c r="BA28" s="10">
        <f>+IF(M28&lt;&gt;"",$AS28*M28,0)</f>
        <v>1600</v>
      </c>
      <c r="BB28" s="10">
        <f>+IF(N28&lt;&gt;"",$AS28*N28,0)</f>
        <v>1600</v>
      </c>
      <c r="BC28" s="10">
        <f>+IF(O28&lt;&gt;"",$AS28*O28,0)</f>
        <v>1600</v>
      </c>
      <c r="BD28" s="10">
        <f>+IF(P28&lt;&gt;"",$AS28*P28,0)</f>
        <v>1600</v>
      </c>
      <c r="BE28" s="10">
        <f>+IF(Q28&lt;&gt;"",$AS28*Q28,0)</f>
        <v>1200</v>
      </c>
      <c r="BF28" s="10">
        <f>+IF(R28&lt;&gt;"",$AS28*R28,0)</f>
        <v>1600</v>
      </c>
      <c r="BG28" s="10">
        <f>+IF(S28&lt;&gt;"",$AS28*S28,0)</f>
        <v>1600</v>
      </c>
      <c r="BH28" s="10">
        <f>+IF(T28&lt;&gt;"",$AS28*T28,0)</f>
        <v>1200</v>
      </c>
      <c r="BI28" s="10">
        <f>+IF(U28&lt;&gt;"",$AS28*U28,0)</f>
        <v>1200</v>
      </c>
      <c r="BJ28" s="10">
        <f>+IF(V28&lt;&gt;"",$AS28*V28,0)</f>
        <v>1600</v>
      </c>
      <c r="BK28" s="10">
        <f>+IF(W28&lt;&gt;"",$AS28*W28,0)</f>
        <v>1600</v>
      </c>
      <c r="BL28" s="10">
        <f>+IF(X28&lt;&gt;"",$AS28*X28,0)</f>
        <v>1200</v>
      </c>
      <c r="BM28" s="10">
        <f>+IF(Y28&lt;&gt;"",$AS28*Y28,0)</f>
        <v>1600</v>
      </c>
      <c r="BN28" s="10">
        <f>+IF(Z28&lt;&gt;"",$AS28*Z28,0)</f>
        <v>1600</v>
      </c>
      <c r="BO28" s="10">
        <f>+IF(AA28&lt;&gt;"",$AS28*AA28,0)</f>
        <v>1600</v>
      </c>
      <c r="BP28" s="10">
        <f>+IF(AB28&lt;&gt;"",$AS28*AB28,0)</f>
        <v>1600</v>
      </c>
      <c r="BQ28" s="10">
        <f>+IF(AC28&lt;&gt;"",$AS28*AC28,0)</f>
        <v>1600</v>
      </c>
      <c r="BR28" s="10">
        <f>+IF(AD28&lt;&gt;"",$AS28*AD28,0)</f>
        <v>800</v>
      </c>
      <c r="BS28" s="10">
        <f>+IF(AE28&lt;&gt;"",$AS28*AE28,0)</f>
        <v>800</v>
      </c>
      <c r="BT28" s="10">
        <f>+IF(AF28&lt;&gt;"",$AS28*AF28,0)</f>
        <v>400</v>
      </c>
      <c r="BU28" s="10">
        <f>+IF(AG28&lt;&gt;"",$AS28*AG28,0)</f>
        <v>400</v>
      </c>
      <c r="BV28" s="10">
        <f t="shared" si="17"/>
        <v>37200</v>
      </c>
      <c r="BW28" s="10"/>
      <c r="BX28" s="10">
        <f t="shared" ref="BX28:BX32" si="20">+SUMIF($AU$8:$BU$8,BX$8,$AU28:$BU28)</f>
        <v>7600</v>
      </c>
      <c r="BY28" s="10">
        <f t="shared" si="14"/>
        <v>6400</v>
      </c>
      <c r="BZ28" s="10">
        <f t="shared" si="14"/>
        <v>6000</v>
      </c>
      <c r="CA28" s="10">
        <f t="shared" si="14"/>
        <v>5600</v>
      </c>
      <c r="CB28" s="10">
        <f t="shared" si="14"/>
        <v>7600</v>
      </c>
      <c r="CC28" s="10">
        <f t="shared" si="14"/>
        <v>3600</v>
      </c>
      <c r="CD28" s="10">
        <f t="shared" si="14"/>
        <v>400</v>
      </c>
      <c r="CE28" s="11">
        <f t="shared" ref="CE28:CE32" si="21">+SUM(BX28:CD28)</f>
        <v>37200</v>
      </c>
    </row>
    <row r="29" spans="1:83" x14ac:dyDescent="0.2">
      <c r="A29" s="1" t="s">
        <v>5</v>
      </c>
      <c r="B29" s="3" t="s">
        <v>51</v>
      </c>
      <c r="C29" s="3" t="s">
        <v>46</v>
      </c>
      <c r="D29" s="3" t="s">
        <v>64</v>
      </c>
      <c r="E29" s="3" t="s">
        <v>6</v>
      </c>
      <c r="F29" s="3"/>
      <c r="G29" s="2">
        <v>24</v>
      </c>
      <c r="H29" s="2">
        <v>32</v>
      </c>
      <c r="I29" s="2">
        <v>32</v>
      </c>
      <c r="J29" s="2">
        <v>32</v>
      </c>
      <c r="K29" s="2">
        <v>32</v>
      </c>
      <c r="L29" s="2">
        <v>32</v>
      </c>
      <c r="M29" s="2">
        <v>32</v>
      </c>
      <c r="N29" s="2">
        <v>32</v>
      </c>
      <c r="O29" s="2">
        <v>32</v>
      </c>
      <c r="P29" s="2">
        <v>32</v>
      </c>
      <c r="Q29" s="2">
        <v>24</v>
      </c>
      <c r="R29" s="2">
        <v>32</v>
      </c>
      <c r="S29" s="2">
        <v>32</v>
      </c>
      <c r="T29" s="2">
        <v>24</v>
      </c>
      <c r="U29" s="2">
        <v>24</v>
      </c>
      <c r="V29" s="2">
        <v>32</v>
      </c>
      <c r="W29" s="2">
        <v>32</v>
      </c>
      <c r="X29" s="2">
        <v>24</v>
      </c>
      <c r="Y29" s="2">
        <v>32</v>
      </c>
      <c r="Z29" s="2">
        <v>24</v>
      </c>
      <c r="AA29" s="2">
        <v>32</v>
      </c>
      <c r="AB29" s="2">
        <v>24</v>
      </c>
      <c r="AC29" s="2">
        <v>16</v>
      </c>
      <c r="AD29" s="2">
        <v>16</v>
      </c>
      <c r="AE29" s="2">
        <v>16</v>
      </c>
      <c r="AF29" s="2">
        <v>8</v>
      </c>
      <c r="AG29" s="2">
        <v>8</v>
      </c>
      <c r="AH29" s="2">
        <f t="shared" si="15"/>
        <v>712</v>
      </c>
      <c r="AI29" s="2"/>
      <c r="AJ29" s="2">
        <f>+SUMIF($G$8:$AG$8,AJ$8,$G29:$AG29)</f>
        <v>152</v>
      </c>
      <c r="AK29" s="2">
        <f>+SUMIF($G$8:$AG$8,AK$8,$G29:$AG29)</f>
        <v>128</v>
      </c>
      <c r="AL29" s="2">
        <f>+SUMIF($G$8:$AG$8,AL$8,$G29:$AG29)</f>
        <v>120</v>
      </c>
      <c r="AM29" s="2">
        <f>+SUMIF($G$8:$AG$8,AM$8,$G29:$AG29)</f>
        <v>112</v>
      </c>
      <c r="AN29" s="2">
        <f>+SUMIF($G$8:$AG$8,AN$8,$G29:$AG29)</f>
        <v>136</v>
      </c>
      <c r="AO29" s="2">
        <f>+SUMIF($G$8:$AG$8,AO$8,$G29:$AG29)</f>
        <v>56</v>
      </c>
      <c r="AP29" s="2">
        <f>+SUMIF($G$8:$AG$8,AP$8,$G29:$AG29)</f>
        <v>8</v>
      </c>
      <c r="AQ29" s="2">
        <f t="shared" si="16"/>
        <v>712</v>
      </c>
      <c r="AR29" s="2"/>
      <c r="AS29" s="55">
        <v>100</v>
      </c>
      <c r="AT29" s="2"/>
      <c r="AU29" s="10">
        <f>+IF(G29&lt;&gt;"",$AS29*G29,0)</f>
        <v>2400</v>
      </c>
      <c r="AV29" s="10">
        <f>+IF(H29&lt;&gt;"",$AS29*H29,0)</f>
        <v>3200</v>
      </c>
      <c r="AW29" s="10">
        <f>+IF(I29&lt;&gt;"",$AS29*I29,0)</f>
        <v>3200</v>
      </c>
      <c r="AX29" s="10">
        <f>+IF(J29&lt;&gt;"",$AS29*J29,0)</f>
        <v>3200</v>
      </c>
      <c r="AY29" s="10">
        <f>+IF(K29&lt;&gt;"",$AS29*K29,0)</f>
        <v>3200</v>
      </c>
      <c r="AZ29" s="10">
        <f>+IF(L29&lt;&gt;"",$AS29*L29,0)</f>
        <v>3200</v>
      </c>
      <c r="BA29" s="10">
        <f>+IF(M29&lt;&gt;"",$AS29*M29,0)</f>
        <v>3200</v>
      </c>
      <c r="BB29" s="10">
        <f>+IF(N29&lt;&gt;"",$AS29*N29,0)</f>
        <v>3200</v>
      </c>
      <c r="BC29" s="10">
        <f>+IF(O29&lt;&gt;"",$AS29*O29,0)</f>
        <v>3200</v>
      </c>
      <c r="BD29" s="10">
        <f>+IF(P29&lt;&gt;"",$AS29*P29,0)</f>
        <v>3200</v>
      </c>
      <c r="BE29" s="10">
        <f>+IF(Q29&lt;&gt;"",$AS29*Q29,0)</f>
        <v>2400</v>
      </c>
      <c r="BF29" s="10">
        <f>+IF(R29&lt;&gt;"",$AS29*R29,0)</f>
        <v>3200</v>
      </c>
      <c r="BG29" s="10">
        <f>+IF(S29&lt;&gt;"",$AS29*S29,0)</f>
        <v>3200</v>
      </c>
      <c r="BH29" s="10">
        <f>+IF(T29&lt;&gt;"",$AS29*T29,0)</f>
        <v>2400</v>
      </c>
      <c r="BI29" s="10">
        <f>+IF(U29&lt;&gt;"",$AS29*U29,0)</f>
        <v>2400</v>
      </c>
      <c r="BJ29" s="10">
        <f>+IF(V29&lt;&gt;"",$AS29*V29,0)</f>
        <v>3200</v>
      </c>
      <c r="BK29" s="10">
        <f>+IF(W29&lt;&gt;"",$AS29*W29,0)</f>
        <v>3200</v>
      </c>
      <c r="BL29" s="10">
        <f>+IF(X29&lt;&gt;"",$AS29*X29,0)</f>
        <v>2400</v>
      </c>
      <c r="BM29" s="10">
        <f>+IF(Y29&lt;&gt;"",$AS29*Y29,0)</f>
        <v>3200</v>
      </c>
      <c r="BN29" s="10">
        <f>+IF(Z29&lt;&gt;"",$AS29*Z29,0)</f>
        <v>2400</v>
      </c>
      <c r="BO29" s="10">
        <f>+IF(AA29&lt;&gt;"",$AS29*AA29,0)</f>
        <v>3200</v>
      </c>
      <c r="BP29" s="10">
        <f>+IF(AB29&lt;&gt;"",$AS29*AB29,0)</f>
        <v>2400</v>
      </c>
      <c r="BQ29" s="10">
        <f>+IF(AC29&lt;&gt;"",$AS29*AC29,0)</f>
        <v>1600</v>
      </c>
      <c r="BR29" s="10">
        <f>+IF(AD29&lt;&gt;"",$AS29*AD29,0)</f>
        <v>1600</v>
      </c>
      <c r="BS29" s="10">
        <f>+IF(AE29&lt;&gt;"",$AS29*AE29,0)</f>
        <v>1600</v>
      </c>
      <c r="BT29" s="10">
        <f>+IF(AF29&lt;&gt;"",$AS29*AF29,0)</f>
        <v>800</v>
      </c>
      <c r="BU29" s="10">
        <f>+IF(AG29&lt;&gt;"",$AS29*AG29,0)</f>
        <v>800</v>
      </c>
      <c r="BV29" s="10">
        <f t="shared" si="17"/>
        <v>71200</v>
      </c>
      <c r="BW29" s="10"/>
      <c r="BX29" s="10">
        <f t="shared" si="20"/>
        <v>15200</v>
      </c>
      <c r="BY29" s="10">
        <f t="shared" si="14"/>
        <v>12800</v>
      </c>
      <c r="BZ29" s="10">
        <f t="shared" si="14"/>
        <v>12000</v>
      </c>
      <c r="CA29" s="10">
        <f t="shared" si="14"/>
        <v>11200</v>
      </c>
      <c r="CB29" s="10">
        <f t="shared" si="14"/>
        <v>13600</v>
      </c>
      <c r="CC29" s="10">
        <f t="shared" si="14"/>
        <v>5600</v>
      </c>
      <c r="CD29" s="10">
        <f t="shared" si="14"/>
        <v>800</v>
      </c>
      <c r="CE29" s="11">
        <f t="shared" si="21"/>
        <v>71200</v>
      </c>
    </row>
    <row r="30" spans="1:83" x14ac:dyDescent="0.2">
      <c r="A30" s="1" t="s">
        <v>5</v>
      </c>
      <c r="B30" s="3" t="s">
        <v>52</v>
      </c>
      <c r="C30" s="3" t="s">
        <v>47</v>
      </c>
      <c r="D30" s="3" t="s">
        <v>65</v>
      </c>
      <c r="E30" s="3" t="s">
        <v>6</v>
      </c>
      <c r="F30" s="3"/>
      <c r="G30" s="2">
        <v>8</v>
      </c>
      <c r="H30" s="2">
        <v>16</v>
      </c>
      <c r="I30" s="2">
        <v>16</v>
      </c>
      <c r="J30" s="2">
        <v>16</v>
      </c>
      <c r="K30" s="2">
        <v>16</v>
      </c>
      <c r="L30" s="2">
        <v>16</v>
      </c>
      <c r="M30" s="2">
        <v>16</v>
      </c>
      <c r="N30" s="2">
        <v>16</v>
      </c>
      <c r="O30" s="2">
        <v>16</v>
      </c>
      <c r="P30" s="2">
        <v>16</v>
      </c>
      <c r="Q30" s="2">
        <v>8</v>
      </c>
      <c r="R30" s="2">
        <v>16</v>
      </c>
      <c r="S30" s="2">
        <v>16</v>
      </c>
      <c r="T30" s="2">
        <v>8</v>
      </c>
      <c r="U30" s="2">
        <v>8</v>
      </c>
      <c r="V30" s="2">
        <v>16</v>
      </c>
      <c r="W30" s="2">
        <v>16</v>
      </c>
      <c r="X30" s="2">
        <v>8</v>
      </c>
      <c r="Y30" s="2">
        <v>16</v>
      </c>
      <c r="Z30" s="2">
        <v>8</v>
      </c>
      <c r="AA30" s="2">
        <v>16</v>
      </c>
      <c r="AB30" s="2">
        <v>8</v>
      </c>
      <c r="AC30" s="2">
        <v>16</v>
      </c>
      <c r="AD30" s="2">
        <v>16</v>
      </c>
      <c r="AE30" s="2">
        <v>16</v>
      </c>
      <c r="AF30" s="2">
        <v>8</v>
      </c>
      <c r="AG30" s="2">
        <v>8</v>
      </c>
      <c r="AH30" s="2">
        <f t="shared" si="15"/>
        <v>360</v>
      </c>
      <c r="AI30" s="2"/>
      <c r="AJ30" s="2">
        <f>+SUMIF($G$8:$AG$8,AJ$8,$G30:$AG30)</f>
        <v>72</v>
      </c>
      <c r="AK30" s="2">
        <f>+SUMIF($G$8:$AG$8,AK$8,$G30:$AG30)</f>
        <v>64</v>
      </c>
      <c r="AL30" s="2">
        <f>+SUMIF($G$8:$AG$8,AL$8,$G30:$AG30)</f>
        <v>56</v>
      </c>
      <c r="AM30" s="2">
        <f>+SUMIF($G$8:$AG$8,AM$8,$G30:$AG30)</f>
        <v>48</v>
      </c>
      <c r="AN30" s="2">
        <f>+SUMIF($G$8:$AG$8,AN$8,$G30:$AG30)</f>
        <v>56</v>
      </c>
      <c r="AO30" s="2">
        <f>+SUMIF($G$8:$AG$8,AO$8,$G30:$AG30)</f>
        <v>56</v>
      </c>
      <c r="AP30" s="2">
        <f>+SUMIF($G$8:$AG$8,AP$8,$G30:$AG30)</f>
        <v>8</v>
      </c>
      <c r="AQ30" s="2">
        <f t="shared" si="16"/>
        <v>360</v>
      </c>
      <c r="AR30" s="2"/>
      <c r="AS30" s="55">
        <v>40</v>
      </c>
      <c r="AT30" s="2"/>
      <c r="AU30" s="10">
        <f>+IF(G30&lt;&gt;"",$AS30*G30,0)</f>
        <v>320</v>
      </c>
      <c r="AV30" s="10">
        <f>+IF(H30&lt;&gt;"",$AS30*H30,0)</f>
        <v>640</v>
      </c>
      <c r="AW30" s="10">
        <f>+IF(I30&lt;&gt;"",$AS30*I30,0)</f>
        <v>640</v>
      </c>
      <c r="AX30" s="10">
        <f>+IF(J30&lt;&gt;"",$AS30*J30,0)</f>
        <v>640</v>
      </c>
      <c r="AY30" s="10">
        <f>+IF(K30&lt;&gt;"",$AS30*K30,0)</f>
        <v>640</v>
      </c>
      <c r="AZ30" s="10">
        <f>+IF(L30&lt;&gt;"",$AS30*L30,0)</f>
        <v>640</v>
      </c>
      <c r="BA30" s="10">
        <f>+IF(M30&lt;&gt;"",$AS30*M30,0)</f>
        <v>640</v>
      </c>
      <c r="BB30" s="10">
        <f>+IF(N30&lt;&gt;"",$AS30*N30,0)</f>
        <v>640</v>
      </c>
      <c r="BC30" s="10">
        <f>+IF(O30&lt;&gt;"",$AS30*O30,0)</f>
        <v>640</v>
      </c>
      <c r="BD30" s="10">
        <f>+IF(P30&lt;&gt;"",$AS30*P30,0)</f>
        <v>640</v>
      </c>
      <c r="BE30" s="10">
        <f>+IF(Q30&lt;&gt;"",$AS30*Q30,0)</f>
        <v>320</v>
      </c>
      <c r="BF30" s="10">
        <f>+IF(R30&lt;&gt;"",$AS30*R30,0)</f>
        <v>640</v>
      </c>
      <c r="BG30" s="10">
        <f>+IF(S30&lt;&gt;"",$AS30*S30,0)</f>
        <v>640</v>
      </c>
      <c r="BH30" s="10">
        <f>+IF(T30&lt;&gt;"",$AS30*T30,0)</f>
        <v>320</v>
      </c>
      <c r="BI30" s="10">
        <f>+IF(U30&lt;&gt;"",$AS30*U30,0)</f>
        <v>320</v>
      </c>
      <c r="BJ30" s="10">
        <f>+IF(V30&lt;&gt;"",$AS30*V30,0)</f>
        <v>640</v>
      </c>
      <c r="BK30" s="10">
        <f>+IF(W30&lt;&gt;"",$AS30*W30,0)</f>
        <v>640</v>
      </c>
      <c r="BL30" s="10">
        <f>+IF(X30&lt;&gt;"",$AS30*X30,0)</f>
        <v>320</v>
      </c>
      <c r="BM30" s="10">
        <f>+IF(Y30&lt;&gt;"",$AS30*Y30,0)</f>
        <v>640</v>
      </c>
      <c r="BN30" s="10">
        <f>+IF(Z30&lt;&gt;"",$AS30*Z30,0)</f>
        <v>320</v>
      </c>
      <c r="BO30" s="10">
        <f>+IF(AA30&lt;&gt;"",$AS30*AA30,0)</f>
        <v>640</v>
      </c>
      <c r="BP30" s="10">
        <f>+IF(AB30&lt;&gt;"",$AS30*AB30,0)</f>
        <v>320</v>
      </c>
      <c r="BQ30" s="10">
        <f>+IF(AC30&lt;&gt;"",$AS30*AC30,0)</f>
        <v>640</v>
      </c>
      <c r="BR30" s="10">
        <f>+IF(AD30&lt;&gt;"",$AS30*AD30,0)</f>
        <v>640</v>
      </c>
      <c r="BS30" s="10">
        <f>+IF(AE30&lt;&gt;"",$AS30*AE30,0)</f>
        <v>640</v>
      </c>
      <c r="BT30" s="10">
        <f>+IF(AF30&lt;&gt;"",$AS30*AF30,0)</f>
        <v>320</v>
      </c>
      <c r="BU30" s="10">
        <f>+IF(AG30&lt;&gt;"",$AS30*AG30,0)</f>
        <v>320</v>
      </c>
      <c r="BV30" s="10">
        <f t="shared" si="17"/>
        <v>14400</v>
      </c>
      <c r="BW30" s="10"/>
      <c r="BX30" s="10">
        <f t="shared" si="20"/>
        <v>2880</v>
      </c>
      <c r="BY30" s="10">
        <f t="shared" si="14"/>
        <v>2560</v>
      </c>
      <c r="BZ30" s="10">
        <f t="shared" si="14"/>
        <v>2240</v>
      </c>
      <c r="CA30" s="10">
        <f t="shared" si="14"/>
        <v>1920</v>
      </c>
      <c r="CB30" s="10">
        <f t="shared" si="14"/>
        <v>2240</v>
      </c>
      <c r="CC30" s="10">
        <f t="shared" si="14"/>
        <v>2240</v>
      </c>
      <c r="CD30" s="10">
        <f t="shared" si="14"/>
        <v>320</v>
      </c>
      <c r="CE30" s="11">
        <f t="shared" si="21"/>
        <v>14400</v>
      </c>
    </row>
    <row r="31" spans="1:83" x14ac:dyDescent="0.2">
      <c r="A31" s="1" t="s">
        <v>5</v>
      </c>
      <c r="B31" s="3" t="s">
        <v>53</v>
      </c>
      <c r="C31" s="3" t="s">
        <v>48</v>
      </c>
      <c r="D31" s="3" t="s">
        <v>49</v>
      </c>
      <c r="E31" s="3" t="s">
        <v>6</v>
      </c>
      <c r="F31" s="3"/>
      <c r="G31" s="2">
        <v>8</v>
      </c>
      <c r="H31" s="2">
        <v>16</v>
      </c>
      <c r="I31" s="2">
        <v>16</v>
      </c>
      <c r="J31" s="2">
        <v>16</v>
      </c>
      <c r="K31" s="2">
        <v>16</v>
      </c>
      <c r="L31" s="2">
        <v>16</v>
      </c>
      <c r="M31" s="2">
        <v>16</v>
      </c>
      <c r="N31" s="2">
        <v>16</v>
      </c>
      <c r="O31" s="2">
        <v>16</v>
      </c>
      <c r="P31" s="2">
        <v>16</v>
      </c>
      <c r="Q31" s="2">
        <v>8</v>
      </c>
      <c r="R31" s="2">
        <v>16</v>
      </c>
      <c r="S31" s="2">
        <v>16</v>
      </c>
      <c r="T31" s="2">
        <v>8</v>
      </c>
      <c r="U31" s="2">
        <v>8</v>
      </c>
      <c r="V31" s="2">
        <v>16</v>
      </c>
      <c r="W31" s="2">
        <v>16</v>
      </c>
      <c r="X31" s="2">
        <v>8</v>
      </c>
      <c r="Y31" s="2">
        <v>16</v>
      </c>
      <c r="Z31" s="2">
        <v>8</v>
      </c>
      <c r="AA31" s="2">
        <v>16</v>
      </c>
      <c r="AB31" s="2">
        <v>8</v>
      </c>
      <c r="AC31" s="2">
        <v>16</v>
      </c>
      <c r="AD31" s="2">
        <v>16</v>
      </c>
      <c r="AE31" s="2">
        <v>16</v>
      </c>
      <c r="AF31" s="2">
        <v>8</v>
      </c>
      <c r="AG31" s="2">
        <v>8</v>
      </c>
      <c r="AH31" s="2">
        <f t="shared" si="15"/>
        <v>360</v>
      </c>
      <c r="AI31" s="2"/>
      <c r="AJ31" s="2">
        <f>+SUMIF($G$8:$AG$8,AJ$8,$G31:$AG31)</f>
        <v>72</v>
      </c>
      <c r="AK31" s="2">
        <f>+SUMIF($G$8:$AG$8,AK$8,$G31:$AG31)</f>
        <v>64</v>
      </c>
      <c r="AL31" s="2">
        <f>+SUMIF($G$8:$AG$8,AL$8,$G31:$AG31)</f>
        <v>56</v>
      </c>
      <c r="AM31" s="2">
        <f>+SUMIF($G$8:$AG$8,AM$8,$G31:$AG31)</f>
        <v>48</v>
      </c>
      <c r="AN31" s="2">
        <f>+SUMIF($G$8:$AG$8,AN$8,$G31:$AG31)</f>
        <v>56</v>
      </c>
      <c r="AO31" s="2">
        <f>+SUMIF($G$8:$AG$8,AO$8,$G31:$AG31)</f>
        <v>56</v>
      </c>
      <c r="AP31" s="2">
        <f>+SUMIF($G$8:$AG$8,AP$8,$G31:$AG31)</f>
        <v>8</v>
      </c>
      <c r="AQ31" s="2">
        <f t="shared" si="16"/>
        <v>360</v>
      </c>
      <c r="AR31" s="2"/>
      <c r="AS31" s="55">
        <v>50</v>
      </c>
      <c r="AT31" s="2"/>
      <c r="AU31" s="10">
        <f>+IF(G31&lt;&gt;"",$AS31*G31,0)</f>
        <v>400</v>
      </c>
      <c r="AV31" s="10">
        <f>+IF(H31&lt;&gt;"",$AS31*H31,0)</f>
        <v>800</v>
      </c>
      <c r="AW31" s="10">
        <f>+IF(I31&lt;&gt;"",$AS31*I31,0)</f>
        <v>800</v>
      </c>
      <c r="AX31" s="10">
        <f>+IF(J31&lt;&gt;"",$AS31*J31,0)</f>
        <v>800</v>
      </c>
      <c r="AY31" s="10">
        <f>+IF(K31&lt;&gt;"",$AS31*K31,0)</f>
        <v>800</v>
      </c>
      <c r="AZ31" s="10">
        <f>+IF(L31&lt;&gt;"",$AS31*L31,0)</f>
        <v>800</v>
      </c>
      <c r="BA31" s="10">
        <f>+IF(M31&lt;&gt;"",$AS31*M31,0)</f>
        <v>800</v>
      </c>
      <c r="BB31" s="10">
        <f>+IF(N31&lt;&gt;"",$AS31*N31,0)</f>
        <v>800</v>
      </c>
      <c r="BC31" s="10">
        <f>+IF(O31&lt;&gt;"",$AS31*O31,0)</f>
        <v>800</v>
      </c>
      <c r="BD31" s="10">
        <f>+IF(P31&lt;&gt;"",$AS31*P31,0)</f>
        <v>800</v>
      </c>
      <c r="BE31" s="10">
        <f>+IF(Q31&lt;&gt;"",$AS31*Q31,0)</f>
        <v>400</v>
      </c>
      <c r="BF31" s="10">
        <f>+IF(R31&lt;&gt;"",$AS31*R31,0)</f>
        <v>800</v>
      </c>
      <c r="BG31" s="10">
        <f>+IF(S31&lt;&gt;"",$AS31*S31,0)</f>
        <v>800</v>
      </c>
      <c r="BH31" s="10">
        <f>+IF(T31&lt;&gt;"",$AS31*T31,0)</f>
        <v>400</v>
      </c>
      <c r="BI31" s="10">
        <f>+IF(U31&lt;&gt;"",$AS31*U31,0)</f>
        <v>400</v>
      </c>
      <c r="BJ31" s="10">
        <f>+IF(V31&lt;&gt;"",$AS31*V31,0)</f>
        <v>800</v>
      </c>
      <c r="BK31" s="10">
        <f>+IF(W31&lt;&gt;"",$AS31*W31,0)</f>
        <v>800</v>
      </c>
      <c r="BL31" s="10">
        <f>+IF(X31&lt;&gt;"",$AS31*X31,0)</f>
        <v>400</v>
      </c>
      <c r="BM31" s="10">
        <f>+IF(Y31&lt;&gt;"",$AS31*Y31,0)</f>
        <v>800</v>
      </c>
      <c r="BN31" s="10">
        <f>+IF(Z31&lt;&gt;"",$AS31*Z31,0)</f>
        <v>400</v>
      </c>
      <c r="BO31" s="10">
        <f>+IF(AA31&lt;&gt;"",$AS31*AA31,0)</f>
        <v>800</v>
      </c>
      <c r="BP31" s="10">
        <f>+IF(AB31&lt;&gt;"",$AS31*AB31,0)</f>
        <v>400</v>
      </c>
      <c r="BQ31" s="10">
        <f>+IF(AC31&lt;&gt;"",$AS31*AC31,0)</f>
        <v>800</v>
      </c>
      <c r="BR31" s="10">
        <f>+IF(AD31&lt;&gt;"",$AS31*AD31,0)</f>
        <v>800</v>
      </c>
      <c r="BS31" s="10">
        <f>+IF(AE31&lt;&gt;"",$AS31*AE31,0)</f>
        <v>800</v>
      </c>
      <c r="BT31" s="10">
        <f>+IF(AF31&lt;&gt;"",$AS31*AF31,0)</f>
        <v>400</v>
      </c>
      <c r="BU31" s="10">
        <f>+IF(AG31&lt;&gt;"",$AS31*AG31,0)</f>
        <v>400</v>
      </c>
      <c r="BV31" s="10">
        <f t="shared" si="17"/>
        <v>18000</v>
      </c>
      <c r="BW31" s="10"/>
      <c r="BX31" s="10">
        <f t="shared" si="20"/>
        <v>3600</v>
      </c>
      <c r="BY31" s="10">
        <f t="shared" si="14"/>
        <v>3200</v>
      </c>
      <c r="BZ31" s="10">
        <f t="shared" si="14"/>
        <v>2800</v>
      </c>
      <c r="CA31" s="10">
        <f t="shared" si="14"/>
        <v>2400</v>
      </c>
      <c r="CB31" s="10">
        <f t="shared" si="14"/>
        <v>2800</v>
      </c>
      <c r="CC31" s="10">
        <f t="shared" si="14"/>
        <v>2800</v>
      </c>
      <c r="CD31" s="10">
        <f t="shared" si="14"/>
        <v>400</v>
      </c>
      <c r="CE31" s="11">
        <f t="shared" si="21"/>
        <v>18000</v>
      </c>
    </row>
    <row r="32" spans="1:83" x14ac:dyDescent="0.2">
      <c r="A32" s="1" t="s">
        <v>5</v>
      </c>
      <c r="B32" s="3" t="s">
        <v>40</v>
      </c>
      <c r="C32" s="3" t="s">
        <v>11</v>
      </c>
      <c r="D32" s="3" t="s">
        <v>10</v>
      </c>
      <c r="E32" s="3" t="s">
        <v>10</v>
      </c>
      <c r="F32" s="3"/>
      <c r="G32" s="2">
        <v>32</v>
      </c>
      <c r="H32" s="2">
        <v>40</v>
      </c>
      <c r="I32" s="2">
        <v>40</v>
      </c>
      <c r="J32" s="2">
        <v>40</v>
      </c>
      <c r="K32" s="2">
        <v>40</v>
      </c>
      <c r="L32" s="2">
        <v>40</v>
      </c>
      <c r="M32" s="2">
        <v>40</v>
      </c>
      <c r="N32" s="2">
        <v>40</v>
      </c>
      <c r="O32" s="2">
        <v>40</v>
      </c>
      <c r="P32" s="2">
        <v>40</v>
      </c>
      <c r="Q32" s="2">
        <v>32</v>
      </c>
      <c r="R32" s="2">
        <v>40</v>
      </c>
      <c r="S32" s="2">
        <v>40</v>
      </c>
      <c r="T32" s="2">
        <v>32</v>
      </c>
      <c r="U32" s="2">
        <v>32</v>
      </c>
      <c r="V32" s="2">
        <v>40</v>
      </c>
      <c r="W32" s="2">
        <v>40</v>
      </c>
      <c r="X32" s="2">
        <v>32</v>
      </c>
      <c r="Y32" s="2">
        <v>40</v>
      </c>
      <c r="Z32" s="2">
        <v>32</v>
      </c>
      <c r="AA32" s="2">
        <v>40</v>
      </c>
      <c r="AB32" s="2">
        <v>32</v>
      </c>
      <c r="AC32" s="2">
        <v>32</v>
      </c>
      <c r="AD32" s="2">
        <v>32</v>
      </c>
      <c r="AE32" s="2">
        <v>32</v>
      </c>
      <c r="AF32" s="2">
        <v>32</v>
      </c>
      <c r="AG32" s="2">
        <v>32</v>
      </c>
      <c r="AH32" s="2">
        <f t="shared" si="15"/>
        <v>984</v>
      </c>
      <c r="AI32" s="2"/>
      <c r="AJ32" s="2">
        <f>+SUMIF($G$8:$AG$8,AJ$8,$G32:$AG32)</f>
        <v>192</v>
      </c>
      <c r="AK32" s="2">
        <f>+SUMIF($G$8:$AG$8,AK$8,$G32:$AG32)</f>
        <v>160</v>
      </c>
      <c r="AL32" s="2">
        <f>+SUMIF($G$8:$AG$8,AL$8,$G32:$AG32)</f>
        <v>152</v>
      </c>
      <c r="AM32" s="2">
        <f>+SUMIF($G$8:$AG$8,AM$8,$G32:$AG32)</f>
        <v>144</v>
      </c>
      <c r="AN32" s="2">
        <f>+SUMIF($G$8:$AG$8,AN$8,$G32:$AG32)</f>
        <v>176</v>
      </c>
      <c r="AO32" s="2">
        <f>+SUMIF($G$8:$AG$8,AO$8,$G32:$AG32)</f>
        <v>128</v>
      </c>
      <c r="AP32" s="2">
        <f>+SUMIF($G$8:$AG$8,AP$8,$G32:$AG32)</f>
        <v>32</v>
      </c>
      <c r="AQ32" s="2">
        <f t="shared" si="16"/>
        <v>984</v>
      </c>
      <c r="AR32" s="2"/>
      <c r="AS32" s="55">
        <v>50</v>
      </c>
      <c r="AT32" s="2"/>
      <c r="AU32" s="10">
        <f>+IF(G32&lt;&gt;"",$AS32*G32,0)</f>
        <v>1600</v>
      </c>
      <c r="AV32" s="10">
        <f>+IF(H32&lt;&gt;"",$AS32*H32,0)</f>
        <v>2000</v>
      </c>
      <c r="AW32" s="10">
        <f>+IF(I32&lt;&gt;"",$AS32*I32,0)</f>
        <v>2000</v>
      </c>
      <c r="AX32" s="10">
        <f>+IF(J32&lt;&gt;"",$AS32*J32,0)</f>
        <v>2000</v>
      </c>
      <c r="AY32" s="10">
        <f>+IF(K32&lt;&gt;"",$AS32*K32,0)</f>
        <v>2000</v>
      </c>
      <c r="AZ32" s="10">
        <f>+IF(L32&lt;&gt;"",$AS32*L32,0)</f>
        <v>2000</v>
      </c>
      <c r="BA32" s="10">
        <f>+IF(M32&lt;&gt;"",$AS32*M32,0)</f>
        <v>2000</v>
      </c>
      <c r="BB32" s="10">
        <f>+IF(N32&lt;&gt;"",$AS32*N32,0)</f>
        <v>2000</v>
      </c>
      <c r="BC32" s="10">
        <f>+IF(O32&lt;&gt;"",$AS32*O32,0)</f>
        <v>2000</v>
      </c>
      <c r="BD32" s="10">
        <f>+IF(P32&lt;&gt;"",$AS32*P32,0)</f>
        <v>2000</v>
      </c>
      <c r="BE32" s="10">
        <f>+IF(Q32&lt;&gt;"",$AS32*Q32,0)</f>
        <v>1600</v>
      </c>
      <c r="BF32" s="10">
        <f>+IF(R32&lt;&gt;"",$AS32*R32,0)</f>
        <v>2000</v>
      </c>
      <c r="BG32" s="10">
        <f>+IF(S32&lt;&gt;"",$AS32*S32,0)</f>
        <v>2000</v>
      </c>
      <c r="BH32" s="10">
        <f>+IF(T32&lt;&gt;"",$AS32*T32,0)</f>
        <v>1600</v>
      </c>
      <c r="BI32" s="10">
        <f>+IF(U32&lt;&gt;"",$AS32*U32,0)</f>
        <v>1600</v>
      </c>
      <c r="BJ32" s="10">
        <f>+IF(V32&lt;&gt;"",$AS32*V32,0)</f>
        <v>2000</v>
      </c>
      <c r="BK32" s="10">
        <f>+IF(W32&lt;&gt;"",$AS32*W32,0)</f>
        <v>2000</v>
      </c>
      <c r="BL32" s="10">
        <f>+IF(X32&lt;&gt;"",$AS32*X32,0)</f>
        <v>1600</v>
      </c>
      <c r="BM32" s="10">
        <f>+IF(Y32&lt;&gt;"",$AS32*Y32,0)</f>
        <v>2000</v>
      </c>
      <c r="BN32" s="10">
        <f>+IF(Z32&lt;&gt;"",$AS32*Z32,0)</f>
        <v>1600</v>
      </c>
      <c r="BO32" s="10">
        <f>+IF(AA32&lt;&gt;"",$AS32*AA32,0)</f>
        <v>2000</v>
      </c>
      <c r="BP32" s="10">
        <f>+IF(AB32&lt;&gt;"",$AS32*AB32,0)</f>
        <v>1600</v>
      </c>
      <c r="BQ32" s="10">
        <f>+IF(AC32&lt;&gt;"",$AS32*AC32,0)</f>
        <v>1600</v>
      </c>
      <c r="BR32" s="10">
        <f>+IF(AD32&lt;&gt;"",$AS32*AD32,0)</f>
        <v>1600</v>
      </c>
      <c r="BS32" s="10">
        <f>+IF(AE32&lt;&gt;"",$AS32*AE32,0)</f>
        <v>1600</v>
      </c>
      <c r="BT32" s="10">
        <f>+IF(AF32&lt;&gt;"",$AS32*AF32,0)</f>
        <v>1600</v>
      </c>
      <c r="BU32" s="10">
        <f>+IF(AG32&lt;&gt;"",$AS32*AG32,0)</f>
        <v>1600</v>
      </c>
      <c r="BV32" s="10">
        <f t="shared" si="17"/>
        <v>49200</v>
      </c>
      <c r="BW32" s="10"/>
      <c r="BX32" s="10">
        <f t="shared" si="20"/>
        <v>9600</v>
      </c>
      <c r="BY32" s="10">
        <f t="shared" si="14"/>
        <v>8000</v>
      </c>
      <c r="BZ32" s="10">
        <f t="shared" si="14"/>
        <v>7600</v>
      </c>
      <c r="CA32" s="10">
        <f t="shared" si="14"/>
        <v>7200</v>
      </c>
      <c r="CB32" s="10">
        <f t="shared" si="14"/>
        <v>8800</v>
      </c>
      <c r="CC32" s="10">
        <f t="shared" si="14"/>
        <v>6400</v>
      </c>
      <c r="CD32" s="10">
        <f t="shared" si="14"/>
        <v>1600</v>
      </c>
      <c r="CE32" s="11">
        <f t="shared" si="21"/>
        <v>49200</v>
      </c>
    </row>
    <row r="33" spans="1:83" x14ac:dyDescent="0.2">
      <c r="A33" s="1" t="s">
        <v>5</v>
      </c>
      <c r="B33" s="3" t="s">
        <v>41</v>
      </c>
      <c r="C33" s="3" t="s">
        <v>12</v>
      </c>
      <c r="D33" s="3" t="s">
        <v>10</v>
      </c>
      <c r="E33" s="3" t="s">
        <v>10</v>
      </c>
      <c r="F33" s="3"/>
      <c r="G33" s="2">
        <v>8</v>
      </c>
      <c r="H33" s="2">
        <v>16</v>
      </c>
      <c r="I33" s="2">
        <v>16</v>
      </c>
      <c r="J33" s="2">
        <v>16</v>
      </c>
      <c r="K33" s="2">
        <v>16</v>
      </c>
      <c r="L33" s="2">
        <v>16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16</v>
      </c>
      <c r="AF33" s="2">
        <v>16</v>
      </c>
      <c r="AG33" s="2">
        <v>16</v>
      </c>
      <c r="AH33" s="2">
        <f t="shared" si="15"/>
        <v>136</v>
      </c>
      <c r="AI33" s="2"/>
      <c r="AJ33" s="2">
        <f>+SUMIF($G$8:$AG$8,AJ$8,$G33:$AG33)</f>
        <v>72</v>
      </c>
      <c r="AK33" s="2">
        <f>+SUMIF($G$8:$AG$8,AK$8,$G33:$AG33)</f>
        <v>16</v>
      </c>
      <c r="AL33" s="2">
        <f>+SUMIF($G$8:$AG$8,AL$8,$G33:$AG33)</f>
        <v>0</v>
      </c>
      <c r="AM33" s="2">
        <f>+SUMIF($G$8:$AG$8,AM$8,$G33:$AG33)</f>
        <v>0</v>
      </c>
      <c r="AN33" s="2">
        <f>+SUMIF($G$8:$AG$8,AN$8,$G33:$AG33)</f>
        <v>0</v>
      </c>
      <c r="AO33" s="2">
        <f>+SUMIF($G$8:$AG$8,AO$8,$G33:$AG33)</f>
        <v>32</v>
      </c>
      <c r="AP33" s="2">
        <f>+SUMIF($G$8:$AG$8,AP$8,$G33:$AG33)</f>
        <v>16</v>
      </c>
      <c r="AQ33" s="2">
        <f t="shared" si="16"/>
        <v>136</v>
      </c>
      <c r="AR33" s="2"/>
      <c r="AS33" s="55">
        <v>50</v>
      </c>
      <c r="AT33" s="2"/>
      <c r="AU33" s="10">
        <f>+IF(G33&lt;&gt;"",$AS33*G33,0)</f>
        <v>400</v>
      </c>
      <c r="AV33" s="10">
        <f>+IF(H33&lt;&gt;"",$AS33*H33,0)</f>
        <v>800</v>
      </c>
      <c r="AW33" s="10">
        <f>+IF(I33&lt;&gt;"",$AS33*I33,0)</f>
        <v>800</v>
      </c>
      <c r="AX33" s="10">
        <f>+IF(J33&lt;&gt;"",$AS33*J33,0)</f>
        <v>800</v>
      </c>
      <c r="AY33" s="10">
        <f>+IF(K33&lt;&gt;"",$AS33*K33,0)</f>
        <v>800</v>
      </c>
      <c r="AZ33" s="10">
        <f>+IF(L33&lt;&gt;"",$AS33*L33,0)</f>
        <v>800</v>
      </c>
      <c r="BA33" s="10">
        <f>+IF(M33&lt;&gt;"",$AS33*M33,0)</f>
        <v>0</v>
      </c>
      <c r="BB33" s="10">
        <f>+IF(N33&lt;&gt;"",$AS33*N33,0)</f>
        <v>0</v>
      </c>
      <c r="BC33" s="10">
        <f>+IF(O33&lt;&gt;"",$AS33*O33,0)</f>
        <v>0</v>
      </c>
      <c r="BD33" s="10">
        <f>+IF(P33&lt;&gt;"",$AS33*P33,0)</f>
        <v>0</v>
      </c>
      <c r="BE33" s="10">
        <f>+IF(Q33&lt;&gt;"",$AS33*Q33,0)</f>
        <v>0</v>
      </c>
      <c r="BF33" s="10">
        <f>+IF(R33&lt;&gt;"",$AS33*R33,0)</f>
        <v>0</v>
      </c>
      <c r="BG33" s="10">
        <f>+IF(S33&lt;&gt;"",$AS33*S33,0)</f>
        <v>0</v>
      </c>
      <c r="BH33" s="10">
        <f>+IF(T33&lt;&gt;"",$AS33*T33,0)</f>
        <v>0</v>
      </c>
      <c r="BI33" s="10">
        <f>+IF(U33&lt;&gt;"",$AS33*U33,0)</f>
        <v>0</v>
      </c>
      <c r="BJ33" s="10">
        <f>+IF(V33&lt;&gt;"",$AS33*V33,0)</f>
        <v>0</v>
      </c>
      <c r="BK33" s="10">
        <f>+IF(W33&lt;&gt;"",$AS33*W33,0)</f>
        <v>0</v>
      </c>
      <c r="BL33" s="10">
        <f>+IF(X33&lt;&gt;"",$AS33*X33,0)</f>
        <v>0</v>
      </c>
      <c r="BM33" s="10">
        <f>+IF(Y33&lt;&gt;"",$AS33*Y33,0)</f>
        <v>0</v>
      </c>
      <c r="BN33" s="10">
        <f>+IF(Z33&lt;&gt;"",$AS33*Z33,0)</f>
        <v>0</v>
      </c>
      <c r="BO33" s="10">
        <f>+IF(AA33&lt;&gt;"",$AS33*AA33,0)</f>
        <v>0</v>
      </c>
      <c r="BP33" s="10">
        <f>+IF(AB33&lt;&gt;"",$AS33*AB33,0)</f>
        <v>0</v>
      </c>
      <c r="BQ33" s="10">
        <f>+IF(AC33&lt;&gt;"",$AS33*AC33,0)</f>
        <v>0</v>
      </c>
      <c r="BR33" s="10">
        <f>+IF(AD33&lt;&gt;"",$AS33*AD33,0)</f>
        <v>0</v>
      </c>
      <c r="BS33" s="10">
        <f>+IF(AE33&lt;&gt;"",$AS33*AE33,0)</f>
        <v>800</v>
      </c>
      <c r="BT33" s="10">
        <f>+IF(AF33&lt;&gt;"",$AS33*AF33,0)</f>
        <v>800</v>
      </c>
      <c r="BU33" s="10">
        <f>+IF(AG33&lt;&gt;"",$AS33*AG33,0)</f>
        <v>800</v>
      </c>
      <c r="BV33" s="10">
        <f t="shared" si="17"/>
        <v>6800</v>
      </c>
      <c r="BW33" s="10"/>
      <c r="BX33" s="10">
        <f t="shared" si="18"/>
        <v>3600</v>
      </c>
      <c r="BY33" s="10">
        <f t="shared" si="14"/>
        <v>800</v>
      </c>
      <c r="BZ33" s="10">
        <f t="shared" si="14"/>
        <v>0</v>
      </c>
      <c r="CA33" s="10">
        <f t="shared" si="14"/>
        <v>0</v>
      </c>
      <c r="CB33" s="10">
        <f t="shared" si="14"/>
        <v>0</v>
      </c>
      <c r="CC33" s="10">
        <f t="shared" si="14"/>
        <v>1600</v>
      </c>
      <c r="CD33" s="10">
        <f t="shared" si="14"/>
        <v>800</v>
      </c>
      <c r="CE33" s="11">
        <f t="shared" si="19"/>
        <v>6800</v>
      </c>
    </row>
    <row r="34" spans="1:83" x14ac:dyDescent="0.2">
      <c r="A34" s="1" t="s">
        <v>5</v>
      </c>
      <c r="B34" s="3" t="s">
        <v>42</v>
      </c>
      <c r="C34" s="3" t="s">
        <v>35</v>
      </c>
      <c r="D34" s="3" t="s">
        <v>16</v>
      </c>
      <c r="E34" s="3" t="s">
        <v>21</v>
      </c>
      <c r="F34" s="3"/>
      <c r="G34" s="2">
        <v>24</v>
      </c>
      <c r="H34" s="2">
        <v>32</v>
      </c>
      <c r="I34" s="2">
        <v>32</v>
      </c>
      <c r="J34" s="2">
        <v>32</v>
      </c>
      <c r="K34" s="2">
        <v>32</v>
      </c>
      <c r="L34" s="2">
        <v>32</v>
      </c>
      <c r="M34" s="2">
        <v>32</v>
      </c>
      <c r="N34" s="2">
        <v>32</v>
      </c>
      <c r="O34" s="2">
        <v>32</v>
      </c>
      <c r="P34" s="2">
        <v>32</v>
      </c>
      <c r="Q34" s="2">
        <v>24</v>
      </c>
      <c r="R34" s="2">
        <v>32</v>
      </c>
      <c r="S34" s="2">
        <v>32</v>
      </c>
      <c r="T34" s="2">
        <v>24</v>
      </c>
      <c r="U34" s="2">
        <v>24</v>
      </c>
      <c r="V34" s="2">
        <v>32</v>
      </c>
      <c r="W34" s="2">
        <v>32</v>
      </c>
      <c r="X34" s="2">
        <v>24</v>
      </c>
      <c r="Y34" s="2">
        <v>32</v>
      </c>
      <c r="Z34" s="2">
        <v>24</v>
      </c>
      <c r="AA34" s="2">
        <v>32</v>
      </c>
      <c r="AB34" s="2">
        <v>16</v>
      </c>
      <c r="AC34" s="2">
        <v>16</v>
      </c>
      <c r="AD34" s="2">
        <v>16</v>
      </c>
      <c r="AE34" s="2">
        <v>16</v>
      </c>
      <c r="AF34" s="2">
        <v>16</v>
      </c>
      <c r="AG34" s="2">
        <v>16</v>
      </c>
      <c r="AH34" s="2">
        <f t="shared" si="15"/>
        <v>720</v>
      </c>
      <c r="AI34" s="2"/>
      <c r="AJ34" s="2">
        <f>+SUMIF($G$8:$AG$8,AJ$8,$G34:$AG34)</f>
        <v>152</v>
      </c>
      <c r="AK34" s="2">
        <f>+SUMIF($G$8:$AG$8,AK$8,$G34:$AG34)</f>
        <v>128</v>
      </c>
      <c r="AL34" s="2">
        <f>+SUMIF($G$8:$AG$8,AL$8,$G34:$AG34)</f>
        <v>120</v>
      </c>
      <c r="AM34" s="2">
        <f>+SUMIF($G$8:$AG$8,AM$8,$G34:$AG34)</f>
        <v>112</v>
      </c>
      <c r="AN34" s="2">
        <f>+SUMIF($G$8:$AG$8,AN$8,$G34:$AG34)</f>
        <v>128</v>
      </c>
      <c r="AO34" s="2">
        <f>+SUMIF($G$8:$AG$8,AO$8,$G34:$AG34)</f>
        <v>64</v>
      </c>
      <c r="AP34" s="2">
        <f>+SUMIF($G$8:$AG$8,AP$8,$G34:$AG34)</f>
        <v>16</v>
      </c>
      <c r="AQ34" s="2">
        <f t="shared" si="16"/>
        <v>720</v>
      </c>
      <c r="AR34" s="2"/>
      <c r="AS34" s="55">
        <v>100</v>
      </c>
      <c r="AT34" s="2"/>
      <c r="AU34" s="10">
        <f>+IF(G34&lt;&gt;"",$AS34*G34,0)</f>
        <v>2400</v>
      </c>
      <c r="AV34" s="10">
        <f>+IF(H34&lt;&gt;"",$AS34*H34,0)</f>
        <v>3200</v>
      </c>
      <c r="AW34" s="10">
        <f>+IF(I34&lt;&gt;"",$AS34*I34,0)</f>
        <v>3200</v>
      </c>
      <c r="AX34" s="10">
        <f>+IF(J34&lt;&gt;"",$AS34*J34,0)</f>
        <v>3200</v>
      </c>
      <c r="AY34" s="10">
        <f>+IF(K34&lt;&gt;"",$AS34*K34,0)</f>
        <v>3200</v>
      </c>
      <c r="AZ34" s="10">
        <f>+IF(L34&lt;&gt;"",$AS34*L34,0)</f>
        <v>3200</v>
      </c>
      <c r="BA34" s="10">
        <f>+IF(M34&lt;&gt;"",$AS34*M34,0)</f>
        <v>3200</v>
      </c>
      <c r="BB34" s="10">
        <f>+IF(N34&lt;&gt;"",$AS34*N34,0)</f>
        <v>3200</v>
      </c>
      <c r="BC34" s="10">
        <f>+IF(O34&lt;&gt;"",$AS34*O34,0)</f>
        <v>3200</v>
      </c>
      <c r="BD34" s="10">
        <f>+IF(P34&lt;&gt;"",$AS34*P34,0)</f>
        <v>3200</v>
      </c>
      <c r="BE34" s="10">
        <f>+IF(Q34&lt;&gt;"",$AS34*Q34,0)</f>
        <v>2400</v>
      </c>
      <c r="BF34" s="10">
        <f>+IF(R34&lt;&gt;"",$AS34*R34,0)</f>
        <v>3200</v>
      </c>
      <c r="BG34" s="10">
        <f>+IF(S34&lt;&gt;"",$AS34*S34,0)</f>
        <v>3200</v>
      </c>
      <c r="BH34" s="10">
        <f>+IF(T34&lt;&gt;"",$AS34*T34,0)</f>
        <v>2400</v>
      </c>
      <c r="BI34" s="10">
        <f>+IF(U34&lt;&gt;"",$AS34*U34,0)</f>
        <v>2400</v>
      </c>
      <c r="BJ34" s="10">
        <f>+IF(V34&lt;&gt;"",$AS34*V34,0)</f>
        <v>3200</v>
      </c>
      <c r="BK34" s="10">
        <f>+IF(W34&lt;&gt;"",$AS34*W34,0)</f>
        <v>3200</v>
      </c>
      <c r="BL34" s="10">
        <f>+IF(X34&lt;&gt;"",$AS34*X34,0)</f>
        <v>2400</v>
      </c>
      <c r="BM34" s="10">
        <f>+IF(Y34&lt;&gt;"",$AS34*Y34,0)</f>
        <v>3200</v>
      </c>
      <c r="BN34" s="10">
        <f>+IF(Z34&lt;&gt;"",$AS34*Z34,0)</f>
        <v>2400</v>
      </c>
      <c r="BO34" s="10">
        <f>+IF(AA34&lt;&gt;"",$AS34*AA34,0)</f>
        <v>3200</v>
      </c>
      <c r="BP34" s="10">
        <f>+IF(AB34&lt;&gt;"",$AS34*AB34,0)</f>
        <v>1600</v>
      </c>
      <c r="BQ34" s="10">
        <f>+IF(AC34&lt;&gt;"",$AS34*AC34,0)</f>
        <v>1600</v>
      </c>
      <c r="BR34" s="10">
        <f>+IF(AD34&lt;&gt;"",$AS34*AD34,0)</f>
        <v>1600</v>
      </c>
      <c r="BS34" s="10">
        <f>+IF(AE34&lt;&gt;"",$AS34*AE34,0)</f>
        <v>1600</v>
      </c>
      <c r="BT34" s="10">
        <f>+IF(AF34&lt;&gt;"",$AS34*AF34,0)</f>
        <v>1600</v>
      </c>
      <c r="BU34" s="10">
        <f>+IF(AG34&lt;&gt;"",$AS34*AG34,0)</f>
        <v>1600</v>
      </c>
      <c r="BV34" s="10">
        <f t="shared" si="17"/>
        <v>72000</v>
      </c>
      <c r="BW34" s="10"/>
      <c r="BX34" s="10">
        <f t="shared" si="18"/>
        <v>15200</v>
      </c>
      <c r="BY34" s="10">
        <f t="shared" si="14"/>
        <v>12800</v>
      </c>
      <c r="BZ34" s="10">
        <f t="shared" si="14"/>
        <v>12000</v>
      </c>
      <c r="CA34" s="10">
        <f t="shared" si="14"/>
        <v>11200</v>
      </c>
      <c r="CB34" s="10">
        <f t="shared" si="14"/>
        <v>12800</v>
      </c>
      <c r="CC34" s="10">
        <f t="shared" si="14"/>
        <v>6400</v>
      </c>
      <c r="CD34" s="10">
        <f t="shared" si="14"/>
        <v>1600</v>
      </c>
      <c r="CE34" s="11">
        <f t="shared" si="19"/>
        <v>72000</v>
      </c>
    </row>
    <row r="35" spans="1:83" x14ac:dyDescent="0.2">
      <c r="A35" s="1" t="s">
        <v>5</v>
      </c>
      <c r="B35" s="3" t="s">
        <v>14</v>
      </c>
      <c r="C35" s="3" t="s">
        <v>13</v>
      </c>
      <c r="D35" s="3" t="s">
        <v>16</v>
      </c>
      <c r="E35" s="3" t="s">
        <v>21</v>
      </c>
      <c r="F35" s="3"/>
      <c r="G35" s="2">
        <v>32</v>
      </c>
      <c r="H35" s="2">
        <v>40</v>
      </c>
      <c r="I35" s="2">
        <v>40</v>
      </c>
      <c r="J35" s="2">
        <v>40</v>
      </c>
      <c r="K35" s="2">
        <v>40</v>
      </c>
      <c r="L35" s="2">
        <v>40</v>
      </c>
      <c r="M35" s="2">
        <v>40</v>
      </c>
      <c r="N35" s="2">
        <v>40</v>
      </c>
      <c r="O35" s="2">
        <v>40</v>
      </c>
      <c r="P35" s="2">
        <v>40</v>
      </c>
      <c r="Q35" s="2">
        <v>32</v>
      </c>
      <c r="R35" s="2">
        <v>40</v>
      </c>
      <c r="S35" s="2">
        <v>40</v>
      </c>
      <c r="T35" s="2">
        <v>32</v>
      </c>
      <c r="U35" s="2">
        <v>32</v>
      </c>
      <c r="V35" s="2">
        <v>40</v>
      </c>
      <c r="W35" s="2">
        <v>40</v>
      </c>
      <c r="X35" s="2">
        <v>32</v>
      </c>
      <c r="Y35" s="2">
        <v>40</v>
      </c>
      <c r="Z35" s="2">
        <v>32</v>
      </c>
      <c r="AA35" s="2">
        <v>40</v>
      </c>
      <c r="AB35" s="2">
        <v>32</v>
      </c>
      <c r="AC35" s="2">
        <v>40</v>
      </c>
      <c r="AD35" s="2">
        <v>40</v>
      </c>
      <c r="AE35" s="2">
        <v>40</v>
      </c>
      <c r="AF35" s="2">
        <v>40</v>
      </c>
      <c r="AG35" s="2">
        <v>40</v>
      </c>
      <c r="AH35" s="2">
        <f t="shared" si="15"/>
        <v>1024</v>
      </c>
      <c r="AI35" s="2"/>
      <c r="AJ35" s="2">
        <f>+SUMIF($G$8:$AG$8,AJ$8,$G35:$AG35)</f>
        <v>192</v>
      </c>
      <c r="AK35" s="2">
        <f>+SUMIF($G$8:$AG$8,AK$8,$G35:$AG35)</f>
        <v>160</v>
      </c>
      <c r="AL35" s="2">
        <f>+SUMIF($G$8:$AG$8,AL$8,$G35:$AG35)</f>
        <v>152</v>
      </c>
      <c r="AM35" s="2">
        <f>+SUMIF($G$8:$AG$8,AM$8,$G35:$AG35)</f>
        <v>144</v>
      </c>
      <c r="AN35" s="2">
        <f>+SUMIF($G$8:$AG$8,AN$8,$G35:$AG35)</f>
        <v>176</v>
      </c>
      <c r="AO35" s="2">
        <f>+SUMIF($G$8:$AG$8,AO$8,$G35:$AG35)</f>
        <v>160</v>
      </c>
      <c r="AP35" s="2">
        <f>+SUMIF($G$8:$AG$8,AP$8,$G35:$AG35)</f>
        <v>40</v>
      </c>
      <c r="AQ35" s="2">
        <f t="shared" si="16"/>
        <v>1024</v>
      </c>
      <c r="AR35" s="2"/>
      <c r="AS35" s="55">
        <v>30</v>
      </c>
      <c r="AT35" s="2"/>
      <c r="AU35" s="10">
        <f>+IF(G35&lt;&gt;"",$AS35*G35,0)</f>
        <v>960</v>
      </c>
      <c r="AV35" s="10">
        <f>+IF(H35&lt;&gt;"",$AS35*H35,0)</f>
        <v>1200</v>
      </c>
      <c r="AW35" s="10">
        <f>+IF(I35&lt;&gt;"",$AS35*I35,0)</f>
        <v>1200</v>
      </c>
      <c r="AX35" s="10">
        <f>+IF(J35&lt;&gt;"",$AS35*J35,0)</f>
        <v>1200</v>
      </c>
      <c r="AY35" s="10">
        <f>+IF(K35&lt;&gt;"",$AS35*K35,0)</f>
        <v>1200</v>
      </c>
      <c r="AZ35" s="10">
        <f>+IF(L35&lt;&gt;"",$AS35*L35,0)</f>
        <v>1200</v>
      </c>
      <c r="BA35" s="10">
        <f>+IF(M35&lt;&gt;"",$AS35*M35,0)</f>
        <v>1200</v>
      </c>
      <c r="BB35" s="10">
        <f>+IF(N35&lt;&gt;"",$AS35*N35,0)</f>
        <v>1200</v>
      </c>
      <c r="BC35" s="10">
        <f>+IF(O35&lt;&gt;"",$AS35*O35,0)</f>
        <v>1200</v>
      </c>
      <c r="BD35" s="10">
        <f>+IF(P35&lt;&gt;"",$AS35*P35,0)</f>
        <v>1200</v>
      </c>
      <c r="BE35" s="10">
        <f>+IF(Q35&lt;&gt;"",$AS35*Q35,0)</f>
        <v>960</v>
      </c>
      <c r="BF35" s="10">
        <f>+IF(R35&lt;&gt;"",$AS35*R35,0)</f>
        <v>1200</v>
      </c>
      <c r="BG35" s="10">
        <f>+IF(S35&lt;&gt;"",$AS35*S35,0)</f>
        <v>1200</v>
      </c>
      <c r="BH35" s="10">
        <f>+IF(T35&lt;&gt;"",$AS35*T35,0)</f>
        <v>960</v>
      </c>
      <c r="BI35" s="10">
        <f>+IF(U35&lt;&gt;"",$AS35*U35,0)</f>
        <v>960</v>
      </c>
      <c r="BJ35" s="10">
        <f>+IF(V35&lt;&gt;"",$AS35*V35,0)</f>
        <v>1200</v>
      </c>
      <c r="BK35" s="10">
        <f>+IF(W35&lt;&gt;"",$AS35*W35,0)</f>
        <v>1200</v>
      </c>
      <c r="BL35" s="10">
        <f>+IF(X35&lt;&gt;"",$AS35*X35,0)</f>
        <v>960</v>
      </c>
      <c r="BM35" s="10">
        <f>+IF(Y35&lt;&gt;"",$AS35*Y35,0)</f>
        <v>1200</v>
      </c>
      <c r="BN35" s="10">
        <f>+IF(Z35&lt;&gt;"",$AS35*Z35,0)</f>
        <v>960</v>
      </c>
      <c r="BO35" s="10">
        <f>+IF(AA35&lt;&gt;"",$AS35*AA35,0)</f>
        <v>1200</v>
      </c>
      <c r="BP35" s="10">
        <f>+IF(AB35&lt;&gt;"",$AS35*AB35,0)</f>
        <v>960</v>
      </c>
      <c r="BQ35" s="10">
        <f>+IF(AC35&lt;&gt;"",$AS35*AC35,0)</f>
        <v>1200</v>
      </c>
      <c r="BR35" s="10">
        <f>+IF(AD35&lt;&gt;"",$AS35*AD35,0)</f>
        <v>1200</v>
      </c>
      <c r="BS35" s="10">
        <f>+IF(AE35&lt;&gt;"",$AS35*AE35,0)</f>
        <v>1200</v>
      </c>
      <c r="BT35" s="10">
        <f>+IF(AF35&lt;&gt;"",$AS35*AF35,0)</f>
        <v>1200</v>
      </c>
      <c r="BU35" s="10">
        <f>+IF(AG35&lt;&gt;"",$AS35*AG35,0)</f>
        <v>1200</v>
      </c>
      <c r="BV35" s="10">
        <f t="shared" si="17"/>
        <v>30720</v>
      </c>
      <c r="BW35" s="10"/>
      <c r="BX35" s="10">
        <f t="shared" si="18"/>
        <v>5760</v>
      </c>
      <c r="BY35" s="10">
        <f t="shared" si="14"/>
        <v>4800</v>
      </c>
      <c r="BZ35" s="10">
        <f t="shared" si="14"/>
        <v>4560</v>
      </c>
      <c r="CA35" s="10">
        <f t="shared" si="14"/>
        <v>4320</v>
      </c>
      <c r="CB35" s="10">
        <f t="shared" si="14"/>
        <v>5280</v>
      </c>
      <c r="CC35" s="10">
        <f t="shared" si="14"/>
        <v>4800</v>
      </c>
      <c r="CD35" s="10">
        <f t="shared" si="14"/>
        <v>1200</v>
      </c>
      <c r="CE35" s="11">
        <f t="shared" si="19"/>
        <v>30720</v>
      </c>
    </row>
    <row r="36" spans="1:83" x14ac:dyDescent="0.2">
      <c r="A36" s="59" t="s">
        <v>5</v>
      </c>
      <c r="B36" s="60" t="s">
        <v>43</v>
      </c>
      <c r="C36" s="60" t="s">
        <v>55</v>
      </c>
      <c r="D36" s="60" t="s">
        <v>17</v>
      </c>
      <c r="E36" s="60" t="s">
        <v>21</v>
      </c>
      <c r="F36" s="60"/>
      <c r="G36" s="61">
        <v>32</v>
      </c>
      <c r="H36" s="61">
        <v>40</v>
      </c>
      <c r="I36" s="61">
        <v>40</v>
      </c>
      <c r="J36" s="61">
        <v>40</v>
      </c>
      <c r="K36" s="61">
        <v>40</v>
      </c>
      <c r="L36" s="61">
        <v>40</v>
      </c>
      <c r="M36" s="61">
        <v>40</v>
      </c>
      <c r="N36" s="61">
        <v>40</v>
      </c>
      <c r="O36" s="61">
        <v>40</v>
      </c>
      <c r="P36" s="61">
        <v>40</v>
      </c>
      <c r="Q36" s="61">
        <v>32</v>
      </c>
      <c r="R36" s="61">
        <v>40</v>
      </c>
      <c r="S36" s="61">
        <v>40</v>
      </c>
      <c r="T36" s="61">
        <v>32</v>
      </c>
      <c r="U36" s="61">
        <v>32</v>
      </c>
      <c r="V36" s="61">
        <v>40</v>
      </c>
      <c r="W36" s="61">
        <v>40</v>
      </c>
      <c r="X36" s="61">
        <v>32</v>
      </c>
      <c r="Y36" s="61">
        <v>40</v>
      </c>
      <c r="Z36" s="61">
        <v>32</v>
      </c>
      <c r="AA36" s="61">
        <v>40</v>
      </c>
      <c r="AB36" s="61">
        <v>32</v>
      </c>
      <c r="AC36" s="61">
        <v>40</v>
      </c>
      <c r="AD36" s="61">
        <v>40</v>
      </c>
      <c r="AE36" s="61">
        <v>40</v>
      </c>
      <c r="AF36" s="61">
        <v>40</v>
      </c>
      <c r="AG36" s="61">
        <v>40</v>
      </c>
      <c r="AH36" s="61">
        <f t="shared" si="15"/>
        <v>1024</v>
      </c>
      <c r="AI36" s="61"/>
      <c r="AJ36" s="61">
        <f>+SUMIF($G$8:$AG$8,AJ$8,$G36:$AG36)</f>
        <v>192</v>
      </c>
      <c r="AK36" s="61">
        <f>+SUMIF($G$8:$AG$8,AK$8,$G36:$AG36)</f>
        <v>160</v>
      </c>
      <c r="AL36" s="61">
        <f>+SUMIF($G$8:$AG$8,AL$8,$G36:$AG36)</f>
        <v>152</v>
      </c>
      <c r="AM36" s="61">
        <f>+SUMIF($G$8:$AG$8,AM$8,$G36:$AG36)</f>
        <v>144</v>
      </c>
      <c r="AN36" s="61">
        <f>+SUMIF($G$8:$AG$8,AN$8,$G36:$AG36)</f>
        <v>176</v>
      </c>
      <c r="AO36" s="61">
        <f>+SUMIF($G$8:$AG$8,AO$8,$G36:$AG36)</f>
        <v>160</v>
      </c>
      <c r="AP36" s="61">
        <f>+SUMIF($G$8:$AG$8,AP$8,$G36:$AG36)</f>
        <v>40</v>
      </c>
      <c r="AQ36" s="61">
        <f t="shared" si="16"/>
        <v>1024</v>
      </c>
      <c r="AR36" s="61"/>
      <c r="AS36" s="62">
        <v>100</v>
      </c>
      <c r="AT36" s="61"/>
      <c r="AU36" s="63">
        <f>+IF(G36&lt;&gt;"",$AS36*G36,0)</f>
        <v>3200</v>
      </c>
      <c r="AV36" s="63">
        <f>+IF(H36&lt;&gt;"",$AS36*H36,0)</f>
        <v>4000</v>
      </c>
      <c r="AW36" s="63">
        <f>+IF(I36&lt;&gt;"",$AS36*I36,0)</f>
        <v>4000</v>
      </c>
      <c r="AX36" s="63">
        <f>+IF(J36&lt;&gt;"",$AS36*J36,0)</f>
        <v>4000</v>
      </c>
      <c r="AY36" s="63">
        <f>+IF(K36&lt;&gt;"",$AS36*K36,0)</f>
        <v>4000</v>
      </c>
      <c r="AZ36" s="63">
        <f>+IF(L36&lt;&gt;"",$AS36*L36,0)</f>
        <v>4000</v>
      </c>
      <c r="BA36" s="63">
        <f>+IF(M36&lt;&gt;"",$AS36*M36,0)</f>
        <v>4000</v>
      </c>
      <c r="BB36" s="63">
        <f>+IF(N36&lt;&gt;"",$AS36*N36,0)</f>
        <v>4000</v>
      </c>
      <c r="BC36" s="63">
        <f>+IF(O36&lt;&gt;"",$AS36*O36,0)</f>
        <v>4000</v>
      </c>
      <c r="BD36" s="63">
        <f>+IF(P36&lt;&gt;"",$AS36*P36,0)</f>
        <v>4000</v>
      </c>
      <c r="BE36" s="63">
        <f>+IF(Q36&lt;&gt;"",$AS36*Q36,0)</f>
        <v>3200</v>
      </c>
      <c r="BF36" s="63">
        <f>+IF(R36&lt;&gt;"",$AS36*R36,0)</f>
        <v>4000</v>
      </c>
      <c r="BG36" s="63">
        <f>+IF(S36&lt;&gt;"",$AS36*S36,0)</f>
        <v>4000</v>
      </c>
      <c r="BH36" s="63">
        <f>+IF(T36&lt;&gt;"",$AS36*T36,0)</f>
        <v>3200</v>
      </c>
      <c r="BI36" s="63">
        <f>+IF(U36&lt;&gt;"",$AS36*U36,0)</f>
        <v>3200</v>
      </c>
      <c r="BJ36" s="63">
        <f>+IF(V36&lt;&gt;"",$AS36*V36,0)</f>
        <v>4000</v>
      </c>
      <c r="BK36" s="63">
        <f>+IF(W36&lt;&gt;"",$AS36*W36,0)</f>
        <v>4000</v>
      </c>
      <c r="BL36" s="63">
        <f>+IF(X36&lt;&gt;"",$AS36*X36,0)</f>
        <v>3200</v>
      </c>
      <c r="BM36" s="63">
        <f>+IF(Y36&lt;&gt;"",$AS36*Y36,0)</f>
        <v>4000</v>
      </c>
      <c r="BN36" s="63">
        <f>+IF(Z36&lt;&gt;"",$AS36*Z36,0)</f>
        <v>3200</v>
      </c>
      <c r="BO36" s="63">
        <f>+IF(AA36&lt;&gt;"",$AS36*AA36,0)</f>
        <v>4000</v>
      </c>
      <c r="BP36" s="63">
        <f>+IF(AB36&lt;&gt;"",$AS36*AB36,0)</f>
        <v>3200</v>
      </c>
      <c r="BQ36" s="63">
        <f>+IF(AC36&lt;&gt;"",$AS36*AC36,0)</f>
        <v>4000</v>
      </c>
      <c r="BR36" s="63">
        <f>+IF(AD36&lt;&gt;"",$AS36*AD36,0)</f>
        <v>4000</v>
      </c>
      <c r="BS36" s="63">
        <f>+IF(AE36&lt;&gt;"",$AS36*AE36,0)</f>
        <v>4000</v>
      </c>
      <c r="BT36" s="63">
        <f>+IF(AF36&lt;&gt;"",$AS36*AF36,0)</f>
        <v>4000</v>
      </c>
      <c r="BU36" s="63">
        <f>+IF(AG36&lt;&gt;"",$AS36*AG36,0)</f>
        <v>4000</v>
      </c>
      <c r="BV36" s="63">
        <f t="shared" si="17"/>
        <v>102400</v>
      </c>
      <c r="BW36" s="63"/>
      <c r="BX36" s="63">
        <f t="shared" si="18"/>
        <v>19200</v>
      </c>
      <c r="BY36" s="63">
        <f t="shared" si="14"/>
        <v>16000</v>
      </c>
      <c r="BZ36" s="63">
        <f t="shared" si="14"/>
        <v>15200</v>
      </c>
      <c r="CA36" s="63">
        <f t="shared" si="14"/>
        <v>14400</v>
      </c>
      <c r="CB36" s="63">
        <f t="shared" si="14"/>
        <v>17600</v>
      </c>
      <c r="CC36" s="63">
        <f t="shared" si="14"/>
        <v>16000</v>
      </c>
      <c r="CD36" s="63">
        <f t="shared" si="14"/>
        <v>4000</v>
      </c>
      <c r="CE36" s="64">
        <f t="shared" si="19"/>
        <v>102400</v>
      </c>
    </row>
    <row r="37" spans="1:83" x14ac:dyDescent="0.2">
      <c r="A37" s="75"/>
      <c r="B37" s="76"/>
      <c r="C37" s="77"/>
      <c r="D37" s="76"/>
      <c r="E37" s="76"/>
      <c r="F37" s="79" t="s">
        <v>32</v>
      </c>
      <c r="G37" s="74">
        <f t="shared" ref="G37:AH37" si="22">+SUBTOTAL(9,G$25:G$36)</f>
        <v>264</v>
      </c>
      <c r="H37" s="74">
        <f t="shared" si="22"/>
        <v>360</v>
      </c>
      <c r="I37" s="74">
        <f t="shared" si="22"/>
        <v>360</v>
      </c>
      <c r="J37" s="74">
        <f t="shared" si="22"/>
        <v>360</v>
      </c>
      <c r="K37" s="74">
        <f t="shared" si="22"/>
        <v>360</v>
      </c>
      <c r="L37" s="74">
        <f t="shared" si="22"/>
        <v>360</v>
      </c>
      <c r="M37" s="74">
        <f t="shared" si="22"/>
        <v>344</v>
      </c>
      <c r="N37" s="74">
        <f t="shared" si="22"/>
        <v>344</v>
      </c>
      <c r="O37" s="74">
        <f t="shared" si="22"/>
        <v>344</v>
      </c>
      <c r="P37" s="74">
        <f t="shared" si="22"/>
        <v>344</v>
      </c>
      <c r="Q37" s="74">
        <f t="shared" si="22"/>
        <v>256</v>
      </c>
      <c r="R37" s="74">
        <f t="shared" si="22"/>
        <v>344</v>
      </c>
      <c r="S37" s="74">
        <f t="shared" si="22"/>
        <v>344</v>
      </c>
      <c r="T37" s="74">
        <f t="shared" si="22"/>
        <v>256</v>
      </c>
      <c r="U37" s="74">
        <f t="shared" si="22"/>
        <v>256</v>
      </c>
      <c r="V37" s="74">
        <f t="shared" si="22"/>
        <v>344</v>
      </c>
      <c r="W37" s="74">
        <f t="shared" si="22"/>
        <v>324</v>
      </c>
      <c r="X37" s="74">
        <f t="shared" si="22"/>
        <v>236</v>
      </c>
      <c r="Y37" s="74">
        <f t="shared" si="22"/>
        <v>324</v>
      </c>
      <c r="Z37" s="74">
        <f t="shared" si="22"/>
        <v>244</v>
      </c>
      <c r="AA37" s="74">
        <f t="shared" si="22"/>
        <v>324</v>
      </c>
      <c r="AB37" s="74">
        <f t="shared" si="22"/>
        <v>236</v>
      </c>
      <c r="AC37" s="74">
        <f t="shared" si="22"/>
        <v>284</v>
      </c>
      <c r="AD37" s="74">
        <f t="shared" si="22"/>
        <v>268</v>
      </c>
      <c r="AE37" s="74">
        <f t="shared" si="22"/>
        <v>284</v>
      </c>
      <c r="AF37" s="74">
        <f t="shared" si="22"/>
        <v>236</v>
      </c>
      <c r="AG37" s="74">
        <f t="shared" si="22"/>
        <v>236</v>
      </c>
      <c r="AH37" s="74">
        <f t="shared" si="22"/>
        <v>8236</v>
      </c>
      <c r="AI37" s="78"/>
      <c r="AJ37" s="74">
        <f t="shared" ref="AJ37:AQ37" si="23">+SUBTOTAL(9,AJ$25:AJ$36)</f>
        <v>1704</v>
      </c>
      <c r="AK37" s="74">
        <f t="shared" si="23"/>
        <v>1392</v>
      </c>
      <c r="AL37" s="74">
        <f t="shared" si="23"/>
        <v>1288</v>
      </c>
      <c r="AM37" s="74">
        <f t="shared" si="23"/>
        <v>1180</v>
      </c>
      <c r="AN37" s="74">
        <f t="shared" si="23"/>
        <v>1364</v>
      </c>
      <c r="AO37" s="74">
        <f t="shared" si="23"/>
        <v>1072</v>
      </c>
      <c r="AP37" s="74">
        <f t="shared" si="23"/>
        <v>236</v>
      </c>
      <c r="AQ37" s="74">
        <f t="shared" si="23"/>
        <v>8236</v>
      </c>
      <c r="AR37" s="76"/>
      <c r="AS37" s="76"/>
      <c r="AT37" s="76"/>
      <c r="AU37" s="80">
        <f t="shared" ref="AU37:BV37" si="24">+SUBTOTAL(9,AU$25:AU$36)</f>
        <v>18000</v>
      </c>
      <c r="AV37" s="80">
        <f t="shared" si="24"/>
        <v>24080</v>
      </c>
      <c r="AW37" s="80">
        <f t="shared" si="24"/>
        <v>24080</v>
      </c>
      <c r="AX37" s="80">
        <f t="shared" si="24"/>
        <v>24080</v>
      </c>
      <c r="AY37" s="80">
        <f t="shared" si="24"/>
        <v>24080</v>
      </c>
      <c r="AZ37" s="80">
        <f t="shared" si="24"/>
        <v>24080</v>
      </c>
      <c r="BA37" s="80">
        <f t="shared" si="24"/>
        <v>23280</v>
      </c>
      <c r="BB37" s="80">
        <f t="shared" si="24"/>
        <v>23280</v>
      </c>
      <c r="BC37" s="80">
        <f t="shared" si="24"/>
        <v>23280</v>
      </c>
      <c r="BD37" s="80">
        <f t="shared" si="24"/>
        <v>23280</v>
      </c>
      <c r="BE37" s="80">
        <f t="shared" si="24"/>
        <v>17600</v>
      </c>
      <c r="BF37" s="80">
        <f t="shared" si="24"/>
        <v>23280</v>
      </c>
      <c r="BG37" s="80">
        <f t="shared" si="24"/>
        <v>23280</v>
      </c>
      <c r="BH37" s="80">
        <f t="shared" si="24"/>
        <v>17600</v>
      </c>
      <c r="BI37" s="80">
        <f t="shared" si="24"/>
        <v>17600</v>
      </c>
      <c r="BJ37" s="80">
        <f t="shared" si="24"/>
        <v>23280</v>
      </c>
      <c r="BK37" s="80">
        <f t="shared" si="24"/>
        <v>22280</v>
      </c>
      <c r="BL37" s="80">
        <f t="shared" si="24"/>
        <v>16600</v>
      </c>
      <c r="BM37" s="80">
        <f t="shared" si="24"/>
        <v>22280</v>
      </c>
      <c r="BN37" s="80">
        <f t="shared" si="24"/>
        <v>17000</v>
      </c>
      <c r="BO37" s="80">
        <f t="shared" si="24"/>
        <v>22280</v>
      </c>
      <c r="BP37" s="80">
        <f t="shared" si="24"/>
        <v>16200</v>
      </c>
      <c r="BQ37" s="80">
        <f t="shared" si="24"/>
        <v>18680</v>
      </c>
      <c r="BR37" s="80">
        <f t="shared" si="24"/>
        <v>17880</v>
      </c>
      <c r="BS37" s="80">
        <f t="shared" si="24"/>
        <v>18680</v>
      </c>
      <c r="BT37" s="80">
        <f t="shared" si="24"/>
        <v>16120</v>
      </c>
      <c r="BU37" s="80">
        <f t="shared" si="24"/>
        <v>16120</v>
      </c>
      <c r="BV37" s="80">
        <f t="shared" si="24"/>
        <v>558280</v>
      </c>
      <c r="BW37" s="81"/>
      <c r="BX37" s="80">
        <f t="shared" ref="BX37:CE37" si="25">+SUBTOTAL(9,BX$25:BX$36)</f>
        <v>114320</v>
      </c>
      <c r="BY37" s="80">
        <f t="shared" si="25"/>
        <v>93920</v>
      </c>
      <c r="BZ37" s="80">
        <f t="shared" si="25"/>
        <v>87440</v>
      </c>
      <c r="CA37" s="80">
        <f t="shared" si="25"/>
        <v>80760</v>
      </c>
      <c r="CB37" s="80">
        <f t="shared" si="25"/>
        <v>94360</v>
      </c>
      <c r="CC37" s="80">
        <f t="shared" si="25"/>
        <v>71360</v>
      </c>
      <c r="CD37" s="80">
        <f t="shared" si="25"/>
        <v>16120</v>
      </c>
      <c r="CE37" s="80">
        <f t="shared" si="25"/>
        <v>558280</v>
      </c>
    </row>
    <row r="38" spans="1:83" s="71" customForma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</row>
    <row r="39" spans="1:83" x14ac:dyDescent="0.2">
      <c r="A39" s="65" t="s">
        <v>18</v>
      </c>
      <c r="B39" s="66" t="str">
        <f>+B25</f>
        <v>Lina Maytum</v>
      </c>
      <c r="C39" s="66" t="str">
        <f>+C25</f>
        <v>Lead Process Engineer</v>
      </c>
      <c r="D39" s="66" t="str">
        <f>+D25</f>
        <v>Process</v>
      </c>
      <c r="E39" s="66" t="str">
        <f>+E25</f>
        <v>Engineering</v>
      </c>
      <c r="F39" s="66"/>
      <c r="G39" s="67">
        <v>32</v>
      </c>
      <c r="H39" s="67">
        <v>40</v>
      </c>
      <c r="I39" s="67">
        <v>40</v>
      </c>
      <c r="J39" s="67">
        <v>40</v>
      </c>
      <c r="K39" s="67">
        <v>40</v>
      </c>
      <c r="L39" s="67">
        <v>40</v>
      </c>
      <c r="M39" s="67">
        <v>40</v>
      </c>
      <c r="N39" s="67">
        <v>40</v>
      </c>
      <c r="O39" s="67">
        <v>40</v>
      </c>
      <c r="P39" s="67">
        <v>40</v>
      </c>
      <c r="Q39" s="67">
        <v>32</v>
      </c>
      <c r="R39" s="67">
        <v>40</v>
      </c>
      <c r="S39" s="67">
        <v>40</v>
      </c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>
        <f t="shared" si="15"/>
        <v>504</v>
      </c>
      <c r="AI39" s="67"/>
      <c r="AJ39" s="67">
        <f>+SUMIF($G$8:$AG$8,AJ$8,$G39:$AG39)</f>
        <v>192</v>
      </c>
      <c r="AK39" s="67">
        <f>+SUMIF($G$8:$AG$8,AK$8,$G39:$AG39)</f>
        <v>160</v>
      </c>
      <c r="AL39" s="67">
        <f>+SUMIF($G$8:$AG$8,AL$8,$G39:$AG39)</f>
        <v>152</v>
      </c>
      <c r="AM39" s="67">
        <f>+SUMIF($G$8:$AG$8,AM$8,$G39:$AG39)</f>
        <v>0</v>
      </c>
      <c r="AN39" s="67">
        <f>+SUMIF($G$8:$AG$8,AN$8,$G39:$AG39)</f>
        <v>0</v>
      </c>
      <c r="AO39" s="67">
        <f>+SUMIF($G$8:$AG$8,AO$8,$G39:$AG39)</f>
        <v>0</v>
      </c>
      <c r="AP39" s="67">
        <f>+SUMIF($G$8:$AG$8,AP$8,$G39:$AG39)</f>
        <v>0</v>
      </c>
      <c r="AQ39" s="67">
        <f t="shared" si="16"/>
        <v>504</v>
      </c>
      <c r="AR39" s="67"/>
      <c r="AS39" s="68">
        <f>+AS25</f>
        <v>100</v>
      </c>
      <c r="AT39" s="67"/>
      <c r="AU39" s="69">
        <f>+IF(G39&lt;&gt;"",$AS39*G39,0)</f>
        <v>3200</v>
      </c>
      <c r="AV39" s="69">
        <f>+IF(H39&lt;&gt;"",$AS39*H39,0)</f>
        <v>4000</v>
      </c>
      <c r="AW39" s="69">
        <f>+IF(I39&lt;&gt;"",$AS39*I39,0)</f>
        <v>4000</v>
      </c>
      <c r="AX39" s="69">
        <f>+IF(J39&lt;&gt;"",$AS39*J39,0)</f>
        <v>4000</v>
      </c>
      <c r="AY39" s="69">
        <f>+IF(K39&lt;&gt;"",$AS39*K39,0)</f>
        <v>4000</v>
      </c>
      <c r="AZ39" s="69">
        <f>+IF(L39&lt;&gt;"",$AS39*L39,0)</f>
        <v>4000</v>
      </c>
      <c r="BA39" s="69">
        <f>+IF(M39&lt;&gt;"",$AS39*M39,0)</f>
        <v>4000</v>
      </c>
      <c r="BB39" s="69">
        <f>+IF(N39&lt;&gt;"",$AS39*N39,0)</f>
        <v>4000</v>
      </c>
      <c r="BC39" s="69">
        <f>+IF(O39&lt;&gt;"",$AS39*O39,0)</f>
        <v>4000</v>
      </c>
      <c r="BD39" s="69">
        <f>+IF(P39&lt;&gt;"",$AS39*P39,0)</f>
        <v>4000</v>
      </c>
      <c r="BE39" s="69">
        <f>+IF(Q39&lt;&gt;"",$AS39*Q39,0)</f>
        <v>3200</v>
      </c>
      <c r="BF39" s="69">
        <f>+IF(R39&lt;&gt;"",$AS39*R39,0)</f>
        <v>4000</v>
      </c>
      <c r="BG39" s="69">
        <f>+IF(S39&lt;&gt;"",$AS39*S39,0)</f>
        <v>4000</v>
      </c>
      <c r="BH39" s="69">
        <f>+IF(T39&lt;&gt;"",$AS39*T39,0)</f>
        <v>0</v>
      </c>
      <c r="BI39" s="69">
        <f>+IF(U39&lt;&gt;"",$AS39*U39,0)</f>
        <v>0</v>
      </c>
      <c r="BJ39" s="69">
        <f>+IF(V39&lt;&gt;"",$AS39*V39,0)</f>
        <v>0</v>
      </c>
      <c r="BK39" s="69">
        <f>+IF(W39&lt;&gt;"",$AS39*W39,0)</f>
        <v>0</v>
      </c>
      <c r="BL39" s="69">
        <f>+IF(X39&lt;&gt;"",$AS39*X39,0)</f>
        <v>0</v>
      </c>
      <c r="BM39" s="69">
        <f>+IF(Y39&lt;&gt;"",$AS39*Y39,0)</f>
        <v>0</v>
      </c>
      <c r="BN39" s="69">
        <f>+IF(Z39&lt;&gt;"",$AS39*Z39,0)</f>
        <v>0</v>
      </c>
      <c r="BO39" s="69">
        <f>+IF(AA39&lt;&gt;"",$AS39*AA39,0)</f>
        <v>0</v>
      </c>
      <c r="BP39" s="69">
        <f>+IF(AB39&lt;&gt;"",$AS39*AB39,0)</f>
        <v>0</v>
      </c>
      <c r="BQ39" s="69">
        <f>+IF(AC39&lt;&gt;"",$AS39*AC39,0)</f>
        <v>0</v>
      </c>
      <c r="BR39" s="69">
        <f>+IF(AD39&lt;&gt;"",$AS39*AD39,0)</f>
        <v>0</v>
      </c>
      <c r="BS39" s="69">
        <f>+IF(AE39&lt;&gt;"",$AS39*AE39,0)</f>
        <v>0</v>
      </c>
      <c r="BT39" s="69">
        <f>+IF(AF39&lt;&gt;"",$AS39*AF39,0)</f>
        <v>0</v>
      </c>
      <c r="BU39" s="69">
        <f>+IF(AG39&lt;&gt;"",$AS39*AG39,0)</f>
        <v>0</v>
      </c>
      <c r="BV39" s="69">
        <f t="shared" si="17"/>
        <v>50400</v>
      </c>
      <c r="BW39" s="69"/>
      <c r="BX39" s="69">
        <f>+SUMIF($AU$8:$BU$8,BX$8,$AU39:$BU39)</f>
        <v>19200</v>
      </c>
      <c r="BY39" s="69">
        <f t="shared" ref="BY39:CD50" si="26">+SUMIF($AU$8:$BU$8,BY$8,$AU39:$BU39)</f>
        <v>16000</v>
      </c>
      <c r="BZ39" s="69">
        <f t="shared" si="26"/>
        <v>15200</v>
      </c>
      <c r="CA39" s="69">
        <f t="shared" si="26"/>
        <v>0</v>
      </c>
      <c r="CB39" s="69">
        <f t="shared" si="26"/>
        <v>0</v>
      </c>
      <c r="CC39" s="69">
        <f t="shared" si="26"/>
        <v>0</v>
      </c>
      <c r="CD39" s="69">
        <f t="shared" si="26"/>
        <v>0</v>
      </c>
      <c r="CE39" s="70">
        <f>+SUM(BX39:CD39)</f>
        <v>50400</v>
      </c>
    </row>
    <row r="40" spans="1:83" x14ac:dyDescent="0.2">
      <c r="A40" s="1" t="s">
        <v>18</v>
      </c>
      <c r="B40" s="3" t="str">
        <f>+B26</f>
        <v>Rutger Claiden</v>
      </c>
      <c r="C40" s="3" t="str">
        <f>+C26</f>
        <v>Senior Mechanical Engineer</v>
      </c>
      <c r="D40" s="3" t="str">
        <f>+D26</f>
        <v>Mechanical</v>
      </c>
      <c r="E40" s="3" t="str">
        <f>+E26</f>
        <v>Engineering</v>
      </c>
      <c r="F40" s="3"/>
      <c r="G40" s="2">
        <v>32</v>
      </c>
      <c r="H40" s="2">
        <v>40</v>
      </c>
      <c r="I40" s="2">
        <v>40</v>
      </c>
      <c r="J40" s="2">
        <v>40</v>
      </c>
      <c r="K40" s="2">
        <v>40</v>
      </c>
      <c r="L40" s="2">
        <v>40</v>
      </c>
      <c r="M40" s="2">
        <v>40</v>
      </c>
      <c r="N40" s="2">
        <v>40</v>
      </c>
      <c r="O40" s="2">
        <v>40</v>
      </c>
      <c r="P40" s="2">
        <v>40</v>
      </c>
      <c r="Q40" s="2">
        <v>32</v>
      </c>
      <c r="R40" s="2">
        <v>40</v>
      </c>
      <c r="S40" s="2">
        <v>40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>
        <f t="shared" si="15"/>
        <v>504</v>
      </c>
      <c r="AI40" s="2"/>
      <c r="AJ40" s="2">
        <f>+SUMIF($G$8:$AG$8,AJ$8,$G40:$AG40)</f>
        <v>192</v>
      </c>
      <c r="AK40" s="2">
        <f>+SUMIF($G$8:$AG$8,AK$8,$G40:$AG40)</f>
        <v>160</v>
      </c>
      <c r="AL40" s="2">
        <f>+SUMIF($G$8:$AG$8,AL$8,$G40:$AG40)</f>
        <v>152</v>
      </c>
      <c r="AM40" s="2">
        <f>+SUMIF($G$8:$AG$8,AM$8,$G40:$AG40)</f>
        <v>0</v>
      </c>
      <c r="AN40" s="2">
        <f>+SUMIF($G$8:$AG$8,AN$8,$G40:$AG40)</f>
        <v>0</v>
      </c>
      <c r="AO40" s="2">
        <f>+SUMIF($G$8:$AG$8,AO$8,$G40:$AG40)</f>
        <v>0</v>
      </c>
      <c r="AP40" s="2">
        <f>+SUMIF($G$8:$AG$8,AP$8,$G40:$AG40)</f>
        <v>0</v>
      </c>
      <c r="AQ40" s="2">
        <f t="shared" si="16"/>
        <v>504</v>
      </c>
      <c r="AR40" s="2"/>
      <c r="AS40" s="55">
        <f>+AS26</f>
        <v>50</v>
      </c>
      <c r="AT40" s="2"/>
      <c r="AU40" s="10">
        <f>+IF(G40&lt;&gt;"",$AS40*G40,0)</f>
        <v>1600</v>
      </c>
      <c r="AV40" s="10">
        <f>+IF(H40&lt;&gt;"",$AS40*H40,0)</f>
        <v>2000</v>
      </c>
      <c r="AW40" s="10">
        <f>+IF(I40&lt;&gt;"",$AS40*I40,0)</f>
        <v>2000</v>
      </c>
      <c r="AX40" s="10">
        <f>+IF(J40&lt;&gt;"",$AS40*J40,0)</f>
        <v>2000</v>
      </c>
      <c r="AY40" s="10">
        <f>+IF(K40&lt;&gt;"",$AS40*K40,0)</f>
        <v>2000</v>
      </c>
      <c r="AZ40" s="10">
        <f>+IF(L40&lt;&gt;"",$AS40*L40,0)</f>
        <v>2000</v>
      </c>
      <c r="BA40" s="10">
        <f>+IF(M40&lt;&gt;"",$AS40*M40,0)</f>
        <v>2000</v>
      </c>
      <c r="BB40" s="10">
        <f>+IF(N40&lt;&gt;"",$AS40*N40,0)</f>
        <v>2000</v>
      </c>
      <c r="BC40" s="10">
        <f>+IF(O40&lt;&gt;"",$AS40*O40,0)</f>
        <v>2000</v>
      </c>
      <c r="BD40" s="10">
        <f>+IF(P40&lt;&gt;"",$AS40*P40,0)</f>
        <v>2000</v>
      </c>
      <c r="BE40" s="10">
        <f>+IF(Q40&lt;&gt;"",$AS40*Q40,0)</f>
        <v>1600</v>
      </c>
      <c r="BF40" s="10">
        <f>+IF(R40&lt;&gt;"",$AS40*R40,0)</f>
        <v>2000</v>
      </c>
      <c r="BG40" s="10">
        <f>+IF(S40&lt;&gt;"",$AS40*S40,0)</f>
        <v>2000</v>
      </c>
      <c r="BH40" s="10">
        <f>+IF(T40&lt;&gt;"",$AS40*T40,0)</f>
        <v>0</v>
      </c>
      <c r="BI40" s="10">
        <f>+IF(U40&lt;&gt;"",$AS40*U40,0)</f>
        <v>0</v>
      </c>
      <c r="BJ40" s="10">
        <f>+IF(V40&lt;&gt;"",$AS40*V40,0)</f>
        <v>0</v>
      </c>
      <c r="BK40" s="10">
        <f>+IF(W40&lt;&gt;"",$AS40*W40,0)</f>
        <v>0</v>
      </c>
      <c r="BL40" s="10">
        <f>+IF(X40&lt;&gt;"",$AS40*X40,0)</f>
        <v>0</v>
      </c>
      <c r="BM40" s="10">
        <f>+IF(Y40&lt;&gt;"",$AS40*Y40,0)</f>
        <v>0</v>
      </c>
      <c r="BN40" s="10">
        <f>+IF(Z40&lt;&gt;"",$AS40*Z40,0)</f>
        <v>0</v>
      </c>
      <c r="BO40" s="10">
        <f>+IF(AA40&lt;&gt;"",$AS40*AA40,0)</f>
        <v>0</v>
      </c>
      <c r="BP40" s="10">
        <f>+IF(AB40&lt;&gt;"",$AS40*AB40,0)</f>
        <v>0</v>
      </c>
      <c r="BQ40" s="10">
        <f>+IF(AC40&lt;&gt;"",$AS40*AC40,0)</f>
        <v>0</v>
      </c>
      <c r="BR40" s="10">
        <f>+IF(AD40&lt;&gt;"",$AS40*AD40,0)</f>
        <v>0</v>
      </c>
      <c r="BS40" s="10">
        <f>+IF(AE40&lt;&gt;"",$AS40*AE40,0)</f>
        <v>0</v>
      </c>
      <c r="BT40" s="10">
        <f>+IF(AF40&lt;&gt;"",$AS40*AF40,0)</f>
        <v>0</v>
      </c>
      <c r="BU40" s="10">
        <f>+IF(AG40&lt;&gt;"",$AS40*AG40,0)</f>
        <v>0</v>
      </c>
      <c r="BV40" s="10">
        <f t="shared" si="17"/>
        <v>25200</v>
      </c>
      <c r="BW40" s="10"/>
      <c r="BX40" s="10">
        <f t="shared" ref="BX40:BX50" si="27">+SUMIF($AU$8:$BU$8,BX$8,$AU40:$BU40)</f>
        <v>9600</v>
      </c>
      <c r="BY40" s="10">
        <f t="shared" si="26"/>
        <v>8000</v>
      </c>
      <c r="BZ40" s="10">
        <f t="shared" si="26"/>
        <v>7600</v>
      </c>
      <c r="CA40" s="10">
        <f t="shared" si="26"/>
        <v>0</v>
      </c>
      <c r="CB40" s="10">
        <f t="shared" si="26"/>
        <v>0</v>
      </c>
      <c r="CC40" s="10">
        <f t="shared" si="26"/>
        <v>0</v>
      </c>
      <c r="CD40" s="10">
        <f t="shared" si="26"/>
        <v>0</v>
      </c>
      <c r="CE40" s="11">
        <f t="shared" ref="CE40" si="28">+SUM(BX40:CD40)</f>
        <v>25200</v>
      </c>
    </row>
    <row r="41" spans="1:83" x14ac:dyDescent="0.2">
      <c r="A41" s="1" t="s">
        <v>18</v>
      </c>
      <c r="B41" s="3" t="str">
        <f>+B27</f>
        <v>Mavra Pandie</v>
      </c>
      <c r="C41" s="3" t="str">
        <f>+C27</f>
        <v>Instrumentation Engineer</v>
      </c>
      <c r="D41" s="3" t="str">
        <f>+D27</f>
        <v>Instrumentation</v>
      </c>
      <c r="E41" s="3" t="str">
        <f>+E27</f>
        <v>Engineering</v>
      </c>
      <c r="F41" s="3"/>
      <c r="G41" s="2">
        <v>8</v>
      </c>
      <c r="H41" s="2">
        <v>16</v>
      </c>
      <c r="I41" s="2">
        <v>16</v>
      </c>
      <c r="J41" s="2">
        <v>16</v>
      </c>
      <c r="K41" s="2">
        <v>16</v>
      </c>
      <c r="L41" s="2">
        <v>16</v>
      </c>
      <c r="M41" s="2">
        <v>16</v>
      </c>
      <c r="N41" s="2">
        <v>16</v>
      </c>
      <c r="O41" s="2">
        <v>16</v>
      </c>
      <c r="P41" s="2">
        <v>16</v>
      </c>
      <c r="Q41" s="2">
        <v>8</v>
      </c>
      <c r="R41" s="2">
        <v>16</v>
      </c>
      <c r="S41" s="2">
        <v>16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>
        <f t="shared" si="15"/>
        <v>192</v>
      </c>
      <c r="AI41" s="2"/>
      <c r="AJ41" s="2">
        <f>+SUMIF($G$8:$AG$8,AJ$8,$G41:$AG41)</f>
        <v>72</v>
      </c>
      <c r="AK41" s="2">
        <f>+SUMIF($G$8:$AG$8,AK$8,$G41:$AG41)</f>
        <v>64</v>
      </c>
      <c r="AL41" s="2">
        <f>+SUMIF($G$8:$AG$8,AL$8,$G41:$AG41)</f>
        <v>56</v>
      </c>
      <c r="AM41" s="2">
        <f>+SUMIF($G$8:$AG$8,AM$8,$G41:$AG41)</f>
        <v>0</v>
      </c>
      <c r="AN41" s="2">
        <f>+SUMIF($G$8:$AG$8,AN$8,$G41:$AG41)</f>
        <v>0</v>
      </c>
      <c r="AO41" s="2">
        <f>+SUMIF($G$8:$AG$8,AO$8,$G41:$AG41)</f>
        <v>0</v>
      </c>
      <c r="AP41" s="2">
        <f>+SUMIF($G$8:$AG$8,AP$8,$G41:$AG41)</f>
        <v>0</v>
      </c>
      <c r="AQ41" s="2">
        <f t="shared" si="16"/>
        <v>192</v>
      </c>
      <c r="AR41" s="2"/>
      <c r="AS41" s="55">
        <f>+AS27</f>
        <v>40</v>
      </c>
      <c r="AT41" s="2"/>
      <c r="AU41" s="10">
        <f>+IF(G41&lt;&gt;"",$AS41*G41,0)</f>
        <v>320</v>
      </c>
      <c r="AV41" s="10">
        <f>+IF(H41&lt;&gt;"",$AS41*H41,0)</f>
        <v>640</v>
      </c>
      <c r="AW41" s="10">
        <f>+IF(I41&lt;&gt;"",$AS41*I41,0)</f>
        <v>640</v>
      </c>
      <c r="AX41" s="10">
        <f>+IF(J41&lt;&gt;"",$AS41*J41,0)</f>
        <v>640</v>
      </c>
      <c r="AY41" s="10">
        <f>+IF(K41&lt;&gt;"",$AS41*K41,0)</f>
        <v>640</v>
      </c>
      <c r="AZ41" s="10">
        <f>+IF(L41&lt;&gt;"",$AS41*L41,0)</f>
        <v>640</v>
      </c>
      <c r="BA41" s="10">
        <f>+IF(M41&lt;&gt;"",$AS41*M41,0)</f>
        <v>640</v>
      </c>
      <c r="BB41" s="10">
        <f>+IF(N41&lt;&gt;"",$AS41*N41,0)</f>
        <v>640</v>
      </c>
      <c r="BC41" s="10">
        <f>+IF(O41&lt;&gt;"",$AS41*O41,0)</f>
        <v>640</v>
      </c>
      <c r="BD41" s="10">
        <f>+IF(P41&lt;&gt;"",$AS41*P41,0)</f>
        <v>640</v>
      </c>
      <c r="BE41" s="10">
        <f>+IF(Q41&lt;&gt;"",$AS41*Q41,0)</f>
        <v>320</v>
      </c>
      <c r="BF41" s="10">
        <f>+IF(R41&lt;&gt;"",$AS41*R41,0)</f>
        <v>640</v>
      </c>
      <c r="BG41" s="10">
        <f>+IF(S41&lt;&gt;"",$AS41*S41,0)</f>
        <v>640</v>
      </c>
      <c r="BH41" s="10">
        <f>+IF(T41&lt;&gt;"",$AS41*T41,0)</f>
        <v>0</v>
      </c>
      <c r="BI41" s="10">
        <f>+IF(U41&lt;&gt;"",$AS41*U41,0)</f>
        <v>0</v>
      </c>
      <c r="BJ41" s="10">
        <f>+IF(V41&lt;&gt;"",$AS41*V41,0)</f>
        <v>0</v>
      </c>
      <c r="BK41" s="10">
        <f>+IF(W41&lt;&gt;"",$AS41*W41,0)</f>
        <v>0</v>
      </c>
      <c r="BL41" s="10">
        <f>+IF(X41&lt;&gt;"",$AS41*X41,0)</f>
        <v>0</v>
      </c>
      <c r="BM41" s="10">
        <f>+IF(Y41&lt;&gt;"",$AS41*Y41,0)</f>
        <v>0</v>
      </c>
      <c r="BN41" s="10">
        <f>+IF(Z41&lt;&gt;"",$AS41*Z41,0)</f>
        <v>0</v>
      </c>
      <c r="BO41" s="10">
        <f>+IF(AA41&lt;&gt;"",$AS41*AA41,0)</f>
        <v>0</v>
      </c>
      <c r="BP41" s="10">
        <f>+IF(AB41&lt;&gt;"",$AS41*AB41,0)</f>
        <v>0</v>
      </c>
      <c r="BQ41" s="10">
        <f>+IF(AC41&lt;&gt;"",$AS41*AC41,0)</f>
        <v>0</v>
      </c>
      <c r="BR41" s="10">
        <f>+IF(AD41&lt;&gt;"",$AS41*AD41,0)</f>
        <v>0</v>
      </c>
      <c r="BS41" s="10">
        <f>+IF(AE41&lt;&gt;"",$AS41*AE41,0)</f>
        <v>0</v>
      </c>
      <c r="BT41" s="10">
        <f>+IF(AF41&lt;&gt;"",$AS41*AF41,0)</f>
        <v>0</v>
      </c>
      <c r="BU41" s="10">
        <f>+IF(AG41&lt;&gt;"",$AS41*AG41,0)</f>
        <v>0</v>
      </c>
      <c r="BV41" s="10">
        <f t="shared" si="17"/>
        <v>7680</v>
      </c>
      <c r="BW41" s="10"/>
      <c r="BX41" s="10">
        <f t="shared" si="27"/>
        <v>2880</v>
      </c>
      <c r="BY41" s="10">
        <f t="shared" si="26"/>
        <v>2560</v>
      </c>
      <c r="BZ41" s="10">
        <f t="shared" si="26"/>
        <v>2240</v>
      </c>
      <c r="CA41" s="10">
        <f t="shared" si="26"/>
        <v>0</v>
      </c>
      <c r="CB41" s="10">
        <f t="shared" si="26"/>
        <v>0</v>
      </c>
      <c r="CC41" s="10">
        <f t="shared" si="26"/>
        <v>0</v>
      </c>
      <c r="CD41" s="10">
        <f t="shared" si="26"/>
        <v>0</v>
      </c>
      <c r="CE41" s="11">
        <f t="shared" ref="CE41:CE50" si="29">+SUM(BX41:CD41)</f>
        <v>7680</v>
      </c>
    </row>
    <row r="42" spans="1:83" x14ac:dyDescent="0.2">
      <c r="A42" s="1" t="s">
        <v>18</v>
      </c>
      <c r="B42" s="3" t="str">
        <f t="shared" ref="B42:E42" si="30">+B28</f>
        <v>Constancy Van Halle</v>
      </c>
      <c r="C42" s="3" t="str">
        <f t="shared" si="30"/>
        <v>Senior Piping Engineer</v>
      </c>
      <c r="D42" s="3" t="str">
        <f t="shared" si="30"/>
        <v>Piping</v>
      </c>
      <c r="E42" s="3" t="str">
        <f t="shared" si="30"/>
        <v>Engineering</v>
      </c>
      <c r="F42" s="3"/>
      <c r="G42" s="2">
        <v>24</v>
      </c>
      <c r="H42" s="2">
        <v>32</v>
      </c>
      <c r="I42" s="2">
        <v>32</v>
      </c>
      <c r="J42" s="2">
        <v>32</v>
      </c>
      <c r="K42" s="2">
        <v>32</v>
      </c>
      <c r="L42" s="2">
        <v>32</v>
      </c>
      <c r="M42" s="2">
        <v>32</v>
      </c>
      <c r="N42" s="2">
        <v>32</v>
      </c>
      <c r="O42" s="2">
        <v>32</v>
      </c>
      <c r="P42" s="2">
        <v>32</v>
      </c>
      <c r="Q42" s="2">
        <v>24</v>
      </c>
      <c r="R42" s="2">
        <v>32</v>
      </c>
      <c r="S42" s="2">
        <v>32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>
        <f t="shared" si="15"/>
        <v>400</v>
      </c>
      <c r="AI42" s="2"/>
      <c r="AJ42" s="2">
        <f>+SUMIF($G$8:$AG$8,AJ$8,$G42:$AG42)</f>
        <v>152</v>
      </c>
      <c r="AK42" s="2">
        <f>+SUMIF($G$8:$AG$8,AK$8,$G42:$AG42)</f>
        <v>128</v>
      </c>
      <c r="AL42" s="2">
        <f>+SUMIF($G$8:$AG$8,AL$8,$G42:$AG42)</f>
        <v>120</v>
      </c>
      <c r="AM42" s="2">
        <f>+SUMIF($G$8:$AG$8,AM$8,$G42:$AG42)</f>
        <v>0</v>
      </c>
      <c r="AN42" s="2">
        <f>+SUMIF($G$8:$AG$8,AN$8,$G42:$AG42)</f>
        <v>0</v>
      </c>
      <c r="AO42" s="2">
        <f>+SUMIF($G$8:$AG$8,AO$8,$G42:$AG42)</f>
        <v>0</v>
      </c>
      <c r="AP42" s="2">
        <f>+SUMIF($G$8:$AG$8,AP$8,$G42:$AG42)</f>
        <v>0</v>
      </c>
      <c r="AQ42" s="2">
        <f t="shared" si="16"/>
        <v>400</v>
      </c>
      <c r="AR42" s="2"/>
      <c r="AS42" s="55">
        <f>+AS28</f>
        <v>50</v>
      </c>
      <c r="AT42" s="2"/>
      <c r="AU42" s="10">
        <f>+IF(G42&lt;&gt;"",$AS42*G42,0)</f>
        <v>1200</v>
      </c>
      <c r="AV42" s="10">
        <f>+IF(H42&lt;&gt;"",$AS42*H42,0)</f>
        <v>1600</v>
      </c>
      <c r="AW42" s="10">
        <f>+IF(I42&lt;&gt;"",$AS42*I42,0)</f>
        <v>1600</v>
      </c>
      <c r="AX42" s="10">
        <f>+IF(J42&lt;&gt;"",$AS42*J42,0)</f>
        <v>1600</v>
      </c>
      <c r="AY42" s="10">
        <f>+IF(K42&lt;&gt;"",$AS42*K42,0)</f>
        <v>1600</v>
      </c>
      <c r="AZ42" s="10">
        <f>+IF(L42&lt;&gt;"",$AS42*L42,0)</f>
        <v>1600</v>
      </c>
      <c r="BA42" s="10">
        <f>+IF(M42&lt;&gt;"",$AS42*M42,0)</f>
        <v>1600</v>
      </c>
      <c r="BB42" s="10">
        <f>+IF(N42&lt;&gt;"",$AS42*N42,0)</f>
        <v>1600</v>
      </c>
      <c r="BC42" s="10">
        <f>+IF(O42&lt;&gt;"",$AS42*O42,0)</f>
        <v>1600</v>
      </c>
      <c r="BD42" s="10">
        <f>+IF(P42&lt;&gt;"",$AS42*P42,0)</f>
        <v>1600</v>
      </c>
      <c r="BE42" s="10">
        <f>+IF(Q42&lt;&gt;"",$AS42*Q42,0)</f>
        <v>1200</v>
      </c>
      <c r="BF42" s="10">
        <f>+IF(R42&lt;&gt;"",$AS42*R42,0)</f>
        <v>1600</v>
      </c>
      <c r="BG42" s="10">
        <f>+IF(S42&lt;&gt;"",$AS42*S42,0)</f>
        <v>1600</v>
      </c>
      <c r="BH42" s="10">
        <f>+IF(T42&lt;&gt;"",$AS42*T42,0)</f>
        <v>0</v>
      </c>
      <c r="BI42" s="10">
        <f>+IF(U42&lt;&gt;"",$AS42*U42,0)</f>
        <v>0</v>
      </c>
      <c r="BJ42" s="10">
        <f>+IF(V42&lt;&gt;"",$AS42*V42,0)</f>
        <v>0</v>
      </c>
      <c r="BK42" s="10">
        <f>+IF(W42&lt;&gt;"",$AS42*W42,0)</f>
        <v>0</v>
      </c>
      <c r="BL42" s="10">
        <f>+IF(X42&lt;&gt;"",$AS42*X42,0)</f>
        <v>0</v>
      </c>
      <c r="BM42" s="10">
        <f>+IF(Y42&lt;&gt;"",$AS42*Y42,0)</f>
        <v>0</v>
      </c>
      <c r="BN42" s="10">
        <f>+IF(Z42&lt;&gt;"",$AS42*Z42,0)</f>
        <v>0</v>
      </c>
      <c r="BO42" s="10">
        <f>+IF(AA42&lt;&gt;"",$AS42*AA42,0)</f>
        <v>0</v>
      </c>
      <c r="BP42" s="10">
        <f>+IF(AB42&lt;&gt;"",$AS42*AB42,0)</f>
        <v>0</v>
      </c>
      <c r="BQ42" s="10">
        <f>+IF(AC42&lt;&gt;"",$AS42*AC42,0)</f>
        <v>0</v>
      </c>
      <c r="BR42" s="10">
        <f>+IF(AD42&lt;&gt;"",$AS42*AD42,0)</f>
        <v>0</v>
      </c>
      <c r="BS42" s="10">
        <f>+IF(AE42&lt;&gt;"",$AS42*AE42,0)</f>
        <v>0</v>
      </c>
      <c r="BT42" s="10">
        <f>+IF(AF42&lt;&gt;"",$AS42*AF42,0)</f>
        <v>0</v>
      </c>
      <c r="BU42" s="10">
        <f>+IF(AG42&lt;&gt;"",$AS42*AG42,0)</f>
        <v>0</v>
      </c>
      <c r="BV42" s="10">
        <f t="shared" ref="BV42:BV45" si="31">+SUM(AU42:BU42)</f>
        <v>20000</v>
      </c>
      <c r="BW42" s="10"/>
      <c r="BX42" s="10">
        <f t="shared" si="27"/>
        <v>7600</v>
      </c>
      <c r="BY42" s="10">
        <f t="shared" si="26"/>
        <v>6400</v>
      </c>
      <c r="BZ42" s="10">
        <f t="shared" si="26"/>
        <v>6000</v>
      </c>
      <c r="CA42" s="10">
        <f t="shared" si="26"/>
        <v>0</v>
      </c>
      <c r="CB42" s="10">
        <f t="shared" si="26"/>
        <v>0</v>
      </c>
      <c r="CC42" s="10">
        <f t="shared" si="26"/>
        <v>0</v>
      </c>
      <c r="CD42" s="10">
        <f t="shared" si="26"/>
        <v>0</v>
      </c>
      <c r="CE42" s="11">
        <f t="shared" si="29"/>
        <v>20000</v>
      </c>
    </row>
    <row r="43" spans="1:83" x14ac:dyDescent="0.2">
      <c r="A43" s="1" t="s">
        <v>18</v>
      </c>
      <c r="B43" s="3" t="str">
        <f t="shared" ref="B43:E43" si="32">+B29</f>
        <v>Ashli Gaisford</v>
      </c>
      <c r="C43" s="3" t="str">
        <f t="shared" si="32"/>
        <v>Lead Structural Engineer</v>
      </c>
      <c r="D43" s="3" t="str">
        <f t="shared" si="32"/>
        <v>Structural</v>
      </c>
      <c r="E43" s="3" t="str">
        <f t="shared" si="32"/>
        <v>Engineering</v>
      </c>
      <c r="F43" s="3"/>
      <c r="G43" s="2">
        <v>24</v>
      </c>
      <c r="H43" s="2">
        <v>32</v>
      </c>
      <c r="I43" s="2">
        <v>32</v>
      </c>
      <c r="J43" s="2">
        <v>32</v>
      </c>
      <c r="K43" s="2">
        <v>32</v>
      </c>
      <c r="L43" s="2">
        <v>32</v>
      </c>
      <c r="M43" s="2">
        <v>32</v>
      </c>
      <c r="N43" s="2">
        <v>32</v>
      </c>
      <c r="O43" s="2">
        <v>32</v>
      </c>
      <c r="P43" s="2">
        <v>32</v>
      </c>
      <c r="Q43" s="2">
        <v>24</v>
      </c>
      <c r="R43" s="2">
        <v>32</v>
      </c>
      <c r="S43" s="2">
        <v>32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>
        <f t="shared" si="15"/>
        <v>400</v>
      </c>
      <c r="AI43" s="2"/>
      <c r="AJ43" s="2">
        <f>+SUMIF($G$8:$AG$8,AJ$8,$G43:$AG43)</f>
        <v>152</v>
      </c>
      <c r="AK43" s="2">
        <f>+SUMIF($G$8:$AG$8,AK$8,$G43:$AG43)</f>
        <v>128</v>
      </c>
      <c r="AL43" s="2">
        <f>+SUMIF($G$8:$AG$8,AL$8,$G43:$AG43)</f>
        <v>120</v>
      </c>
      <c r="AM43" s="2">
        <f>+SUMIF($G$8:$AG$8,AM$8,$G43:$AG43)</f>
        <v>0</v>
      </c>
      <c r="AN43" s="2">
        <f>+SUMIF($G$8:$AG$8,AN$8,$G43:$AG43)</f>
        <v>0</v>
      </c>
      <c r="AO43" s="2">
        <f>+SUMIF($G$8:$AG$8,AO$8,$G43:$AG43)</f>
        <v>0</v>
      </c>
      <c r="AP43" s="2">
        <f>+SUMIF($G$8:$AG$8,AP$8,$G43:$AG43)</f>
        <v>0</v>
      </c>
      <c r="AQ43" s="2">
        <f t="shared" si="16"/>
        <v>400</v>
      </c>
      <c r="AR43" s="2"/>
      <c r="AS43" s="55">
        <f>+AS29</f>
        <v>100</v>
      </c>
      <c r="AT43" s="2"/>
      <c r="AU43" s="10">
        <f>+IF(G43&lt;&gt;"",$AS43*G43,0)</f>
        <v>2400</v>
      </c>
      <c r="AV43" s="10">
        <f>+IF(H43&lt;&gt;"",$AS43*H43,0)</f>
        <v>3200</v>
      </c>
      <c r="AW43" s="10">
        <f>+IF(I43&lt;&gt;"",$AS43*I43,0)</f>
        <v>3200</v>
      </c>
      <c r="AX43" s="10">
        <f>+IF(J43&lt;&gt;"",$AS43*J43,0)</f>
        <v>3200</v>
      </c>
      <c r="AY43" s="10">
        <f>+IF(K43&lt;&gt;"",$AS43*K43,0)</f>
        <v>3200</v>
      </c>
      <c r="AZ43" s="10">
        <f>+IF(L43&lt;&gt;"",$AS43*L43,0)</f>
        <v>3200</v>
      </c>
      <c r="BA43" s="10">
        <f>+IF(M43&lt;&gt;"",$AS43*M43,0)</f>
        <v>3200</v>
      </c>
      <c r="BB43" s="10">
        <f>+IF(N43&lt;&gt;"",$AS43*N43,0)</f>
        <v>3200</v>
      </c>
      <c r="BC43" s="10">
        <f>+IF(O43&lt;&gt;"",$AS43*O43,0)</f>
        <v>3200</v>
      </c>
      <c r="BD43" s="10">
        <f>+IF(P43&lt;&gt;"",$AS43*P43,0)</f>
        <v>3200</v>
      </c>
      <c r="BE43" s="10">
        <f>+IF(Q43&lt;&gt;"",$AS43*Q43,0)</f>
        <v>2400</v>
      </c>
      <c r="BF43" s="10">
        <f>+IF(R43&lt;&gt;"",$AS43*R43,0)</f>
        <v>3200</v>
      </c>
      <c r="BG43" s="10">
        <f>+IF(S43&lt;&gt;"",$AS43*S43,0)</f>
        <v>3200</v>
      </c>
      <c r="BH43" s="10">
        <f>+IF(T43&lt;&gt;"",$AS43*T43,0)</f>
        <v>0</v>
      </c>
      <c r="BI43" s="10">
        <f>+IF(U43&lt;&gt;"",$AS43*U43,0)</f>
        <v>0</v>
      </c>
      <c r="BJ43" s="10">
        <f>+IF(V43&lt;&gt;"",$AS43*V43,0)</f>
        <v>0</v>
      </c>
      <c r="BK43" s="10">
        <f>+IF(W43&lt;&gt;"",$AS43*W43,0)</f>
        <v>0</v>
      </c>
      <c r="BL43" s="10">
        <f>+IF(X43&lt;&gt;"",$AS43*X43,0)</f>
        <v>0</v>
      </c>
      <c r="BM43" s="10">
        <f>+IF(Y43&lt;&gt;"",$AS43*Y43,0)</f>
        <v>0</v>
      </c>
      <c r="BN43" s="10">
        <f>+IF(Z43&lt;&gt;"",$AS43*Z43,0)</f>
        <v>0</v>
      </c>
      <c r="BO43" s="10">
        <f>+IF(AA43&lt;&gt;"",$AS43*AA43,0)</f>
        <v>0</v>
      </c>
      <c r="BP43" s="10">
        <f>+IF(AB43&lt;&gt;"",$AS43*AB43,0)</f>
        <v>0</v>
      </c>
      <c r="BQ43" s="10">
        <f>+IF(AC43&lt;&gt;"",$AS43*AC43,0)</f>
        <v>0</v>
      </c>
      <c r="BR43" s="10">
        <f>+IF(AD43&lt;&gt;"",$AS43*AD43,0)</f>
        <v>0</v>
      </c>
      <c r="BS43" s="10">
        <f>+IF(AE43&lt;&gt;"",$AS43*AE43,0)</f>
        <v>0</v>
      </c>
      <c r="BT43" s="10">
        <f>+IF(AF43&lt;&gt;"",$AS43*AF43,0)</f>
        <v>0</v>
      </c>
      <c r="BU43" s="10">
        <f>+IF(AG43&lt;&gt;"",$AS43*AG43,0)</f>
        <v>0</v>
      </c>
      <c r="BV43" s="10">
        <f t="shared" si="31"/>
        <v>40000</v>
      </c>
      <c r="BW43" s="10"/>
      <c r="BX43" s="10">
        <f t="shared" si="27"/>
        <v>15200</v>
      </c>
      <c r="BY43" s="10">
        <f t="shared" si="26"/>
        <v>12800</v>
      </c>
      <c r="BZ43" s="10">
        <f t="shared" si="26"/>
        <v>12000</v>
      </c>
      <c r="CA43" s="10">
        <f t="shared" si="26"/>
        <v>0</v>
      </c>
      <c r="CB43" s="10">
        <f t="shared" si="26"/>
        <v>0</v>
      </c>
      <c r="CC43" s="10">
        <f t="shared" si="26"/>
        <v>0</v>
      </c>
      <c r="CD43" s="10">
        <f t="shared" si="26"/>
        <v>0</v>
      </c>
      <c r="CE43" s="11">
        <f t="shared" si="29"/>
        <v>40000</v>
      </c>
    </row>
    <row r="44" spans="1:83" x14ac:dyDescent="0.2">
      <c r="A44" s="1" t="s">
        <v>18</v>
      </c>
      <c r="B44" s="3" t="str">
        <f t="shared" ref="B44:E44" si="33">+B30</f>
        <v>Minor Betton</v>
      </c>
      <c r="C44" s="3" t="str">
        <f t="shared" si="33"/>
        <v>Electrical Engineer</v>
      </c>
      <c r="D44" s="3" t="str">
        <f t="shared" si="33"/>
        <v>Electrical</v>
      </c>
      <c r="E44" s="3" t="str">
        <f t="shared" si="33"/>
        <v>Engineering</v>
      </c>
      <c r="F44" s="3"/>
      <c r="G44" s="2">
        <v>16</v>
      </c>
      <c r="H44" s="2">
        <v>16</v>
      </c>
      <c r="I44" s="2">
        <v>16</v>
      </c>
      <c r="J44" s="2">
        <v>16</v>
      </c>
      <c r="K44" s="2">
        <v>16</v>
      </c>
      <c r="L44" s="2">
        <v>16</v>
      </c>
      <c r="M44" s="2">
        <v>16</v>
      </c>
      <c r="N44" s="2">
        <v>16</v>
      </c>
      <c r="O44" s="2">
        <v>16</v>
      </c>
      <c r="P44" s="2">
        <v>16</v>
      </c>
      <c r="Q44" s="2">
        <v>8</v>
      </c>
      <c r="R44" s="2">
        <v>16</v>
      </c>
      <c r="S44" s="2">
        <v>16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>
        <f t="shared" si="15"/>
        <v>200</v>
      </c>
      <c r="AI44" s="2"/>
      <c r="AJ44" s="2">
        <f>+SUMIF($G$8:$AG$8,AJ$8,$G44:$AG44)</f>
        <v>80</v>
      </c>
      <c r="AK44" s="2">
        <f>+SUMIF($G$8:$AG$8,AK$8,$G44:$AG44)</f>
        <v>64</v>
      </c>
      <c r="AL44" s="2">
        <f>+SUMIF($G$8:$AG$8,AL$8,$G44:$AG44)</f>
        <v>56</v>
      </c>
      <c r="AM44" s="2">
        <f>+SUMIF($G$8:$AG$8,AM$8,$G44:$AG44)</f>
        <v>0</v>
      </c>
      <c r="AN44" s="2">
        <f>+SUMIF($G$8:$AG$8,AN$8,$G44:$AG44)</f>
        <v>0</v>
      </c>
      <c r="AO44" s="2">
        <f>+SUMIF($G$8:$AG$8,AO$8,$G44:$AG44)</f>
        <v>0</v>
      </c>
      <c r="AP44" s="2">
        <f>+SUMIF($G$8:$AG$8,AP$8,$G44:$AG44)</f>
        <v>0</v>
      </c>
      <c r="AQ44" s="2">
        <f t="shared" si="16"/>
        <v>200</v>
      </c>
      <c r="AR44" s="2"/>
      <c r="AS44" s="55">
        <f>+AS30</f>
        <v>40</v>
      </c>
      <c r="AT44" s="2"/>
      <c r="AU44" s="10">
        <f>+IF(G44&lt;&gt;"",$AS44*G44,0)</f>
        <v>640</v>
      </c>
      <c r="AV44" s="10">
        <f>+IF(H44&lt;&gt;"",$AS44*H44,0)</f>
        <v>640</v>
      </c>
      <c r="AW44" s="10">
        <f>+IF(I44&lt;&gt;"",$AS44*I44,0)</f>
        <v>640</v>
      </c>
      <c r="AX44" s="10">
        <f>+IF(J44&lt;&gt;"",$AS44*J44,0)</f>
        <v>640</v>
      </c>
      <c r="AY44" s="10">
        <f>+IF(K44&lt;&gt;"",$AS44*K44,0)</f>
        <v>640</v>
      </c>
      <c r="AZ44" s="10">
        <f>+IF(L44&lt;&gt;"",$AS44*L44,0)</f>
        <v>640</v>
      </c>
      <c r="BA44" s="10">
        <f>+IF(M44&lt;&gt;"",$AS44*M44,0)</f>
        <v>640</v>
      </c>
      <c r="BB44" s="10">
        <f>+IF(N44&lt;&gt;"",$AS44*N44,0)</f>
        <v>640</v>
      </c>
      <c r="BC44" s="10">
        <f>+IF(O44&lt;&gt;"",$AS44*O44,0)</f>
        <v>640</v>
      </c>
      <c r="BD44" s="10">
        <f>+IF(P44&lt;&gt;"",$AS44*P44,0)</f>
        <v>640</v>
      </c>
      <c r="BE44" s="10">
        <f>+IF(Q44&lt;&gt;"",$AS44*Q44,0)</f>
        <v>320</v>
      </c>
      <c r="BF44" s="10">
        <f>+IF(R44&lt;&gt;"",$AS44*R44,0)</f>
        <v>640</v>
      </c>
      <c r="BG44" s="10">
        <f>+IF(S44&lt;&gt;"",$AS44*S44,0)</f>
        <v>640</v>
      </c>
      <c r="BH44" s="10">
        <f>+IF(T44&lt;&gt;"",$AS44*T44,0)</f>
        <v>0</v>
      </c>
      <c r="BI44" s="10">
        <f>+IF(U44&lt;&gt;"",$AS44*U44,0)</f>
        <v>0</v>
      </c>
      <c r="BJ44" s="10">
        <f>+IF(V44&lt;&gt;"",$AS44*V44,0)</f>
        <v>0</v>
      </c>
      <c r="BK44" s="10">
        <f>+IF(W44&lt;&gt;"",$AS44*W44,0)</f>
        <v>0</v>
      </c>
      <c r="BL44" s="10">
        <f>+IF(X44&lt;&gt;"",$AS44*X44,0)</f>
        <v>0</v>
      </c>
      <c r="BM44" s="10">
        <f>+IF(Y44&lt;&gt;"",$AS44*Y44,0)</f>
        <v>0</v>
      </c>
      <c r="BN44" s="10">
        <f>+IF(Z44&lt;&gt;"",$AS44*Z44,0)</f>
        <v>0</v>
      </c>
      <c r="BO44" s="10">
        <f>+IF(AA44&lt;&gt;"",$AS44*AA44,0)</f>
        <v>0</v>
      </c>
      <c r="BP44" s="10">
        <f>+IF(AB44&lt;&gt;"",$AS44*AB44,0)</f>
        <v>0</v>
      </c>
      <c r="BQ44" s="10">
        <f>+IF(AC44&lt;&gt;"",$AS44*AC44,0)</f>
        <v>0</v>
      </c>
      <c r="BR44" s="10">
        <f>+IF(AD44&lt;&gt;"",$AS44*AD44,0)</f>
        <v>0</v>
      </c>
      <c r="BS44" s="10">
        <f>+IF(AE44&lt;&gt;"",$AS44*AE44,0)</f>
        <v>0</v>
      </c>
      <c r="BT44" s="10">
        <f>+IF(AF44&lt;&gt;"",$AS44*AF44,0)</f>
        <v>0</v>
      </c>
      <c r="BU44" s="10">
        <f>+IF(AG44&lt;&gt;"",$AS44*AG44,0)</f>
        <v>0</v>
      </c>
      <c r="BV44" s="10">
        <f t="shared" si="31"/>
        <v>8000</v>
      </c>
      <c r="BW44" s="10"/>
      <c r="BX44" s="10">
        <f t="shared" si="27"/>
        <v>3200</v>
      </c>
      <c r="BY44" s="10">
        <f t="shared" si="26"/>
        <v>2560</v>
      </c>
      <c r="BZ44" s="10">
        <f t="shared" si="26"/>
        <v>2240</v>
      </c>
      <c r="CA44" s="10">
        <f t="shared" si="26"/>
        <v>0</v>
      </c>
      <c r="CB44" s="10">
        <f t="shared" si="26"/>
        <v>0</v>
      </c>
      <c r="CC44" s="10">
        <f t="shared" si="26"/>
        <v>0</v>
      </c>
      <c r="CD44" s="10">
        <f t="shared" si="26"/>
        <v>0</v>
      </c>
      <c r="CE44" s="11">
        <f t="shared" si="29"/>
        <v>8000</v>
      </c>
    </row>
    <row r="45" spans="1:83" x14ac:dyDescent="0.2">
      <c r="A45" s="1" t="s">
        <v>18</v>
      </c>
      <c r="B45" s="3" t="str">
        <f t="shared" ref="B45:E45" si="34">+B31</f>
        <v>Darren Gellibrand</v>
      </c>
      <c r="C45" s="3" t="str">
        <f t="shared" si="34"/>
        <v>HSE Engineer</v>
      </c>
      <c r="D45" s="3" t="str">
        <f t="shared" si="34"/>
        <v>HSE</v>
      </c>
      <c r="E45" s="3" t="str">
        <f t="shared" si="34"/>
        <v>Engineering</v>
      </c>
      <c r="F45" s="3"/>
      <c r="G45" s="2">
        <v>16</v>
      </c>
      <c r="H45" s="2">
        <v>16</v>
      </c>
      <c r="I45" s="2">
        <v>16</v>
      </c>
      <c r="J45" s="2">
        <v>16</v>
      </c>
      <c r="K45" s="2">
        <v>16</v>
      </c>
      <c r="L45" s="2">
        <v>16</v>
      </c>
      <c r="M45" s="2">
        <v>16</v>
      </c>
      <c r="N45" s="2">
        <v>16</v>
      </c>
      <c r="O45" s="2">
        <v>16</v>
      </c>
      <c r="P45" s="2">
        <v>16</v>
      </c>
      <c r="Q45" s="2">
        <v>8</v>
      </c>
      <c r="R45" s="2">
        <v>16</v>
      </c>
      <c r="S45" s="2">
        <v>8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>
        <f t="shared" si="15"/>
        <v>192</v>
      </c>
      <c r="AI45" s="2"/>
      <c r="AJ45" s="2">
        <f>+SUMIF($G$8:$AG$8,AJ$8,$G45:$AG45)</f>
        <v>80</v>
      </c>
      <c r="AK45" s="2">
        <f>+SUMIF($G$8:$AG$8,AK$8,$G45:$AG45)</f>
        <v>64</v>
      </c>
      <c r="AL45" s="2">
        <f>+SUMIF($G$8:$AG$8,AL$8,$G45:$AG45)</f>
        <v>48</v>
      </c>
      <c r="AM45" s="2">
        <f t="shared" ref="AJ45:AP50" si="35">+SUMIF($G$8:$AG$8,AM$8,$G45:$AG45)</f>
        <v>0</v>
      </c>
      <c r="AN45" s="2">
        <f t="shared" si="35"/>
        <v>0</v>
      </c>
      <c r="AO45" s="2">
        <f t="shared" si="35"/>
        <v>0</v>
      </c>
      <c r="AP45" s="2">
        <f t="shared" si="35"/>
        <v>0</v>
      </c>
      <c r="AQ45" s="2">
        <f t="shared" si="16"/>
        <v>192</v>
      </c>
      <c r="AR45" s="2"/>
      <c r="AS45" s="55">
        <f>+AS31</f>
        <v>50</v>
      </c>
      <c r="AT45" s="2"/>
      <c r="AU45" s="10">
        <f>+IF(G45&lt;&gt;"",$AS45*G45,0)</f>
        <v>800</v>
      </c>
      <c r="AV45" s="10">
        <f>+IF(H45&lt;&gt;"",$AS45*H45,0)</f>
        <v>800</v>
      </c>
      <c r="AW45" s="10">
        <f>+IF(I45&lt;&gt;"",$AS45*I45,0)</f>
        <v>800</v>
      </c>
      <c r="AX45" s="10">
        <f>+IF(J45&lt;&gt;"",$AS45*J45,0)</f>
        <v>800</v>
      </c>
      <c r="AY45" s="10">
        <f>+IF(K45&lt;&gt;"",$AS45*K45,0)</f>
        <v>800</v>
      </c>
      <c r="AZ45" s="10">
        <f>+IF(L45&lt;&gt;"",$AS45*L45,0)</f>
        <v>800</v>
      </c>
      <c r="BA45" s="10">
        <f>+IF(M45&lt;&gt;"",$AS45*M45,0)</f>
        <v>800</v>
      </c>
      <c r="BB45" s="10">
        <f>+IF(N45&lt;&gt;"",$AS45*N45,0)</f>
        <v>800</v>
      </c>
      <c r="BC45" s="10">
        <f>+IF(O45&lt;&gt;"",$AS45*O45,0)</f>
        <v>800</v>
      </c>
      <c r="BD45" s="10">
        <f>+IF(P45&lt;&gt;"",$AS45*P45,0)</f>
        <v>800</v>
      </c>
      <c r="BE45" s="10">
        <f>+IF(Q45&lt;&gt;"",$AS45*Q45,0)</f>
        <v>400</v>
      </c>
      <c r="BF45" s="10">
        <f>+IF(R45&lt;&gt;"",$AS45*R45,0)</f>
        <v>800</v>
      </c>
      <c r="BG45" s="10">
        <f>+IF(S45&lt;&gt;"",$AS45*S45,0)</f>
        <v>400</v>
      </c>
      <c r="BH45" s="10">
        <f>+IF(T45&lt;&gt;"",$AS45*T45,0)</f>
        <v>0</v>
      </c>
      <c r="BI45" s="10">
        <f>+IF(U45&lt;&gt;"",$AS45*U45,0)</f>
        <v>0</v>
      </c>
      <c r="BJ45" s="10">
        <f>+IF(V45&lt;&gt;"",$AS45*V45,0)</f>
        <v>0</v>
      </c>
      <c r="BK45" s="10">
        <f>+IF(W45&lt;&gt;"",$AS45*W45,0)</f>
        <v>0</v>
      </c>
      <c r="BL45" s="10">
        <f>+IF(X45&lt;&gt;"",$AS45*X45,0)</f>
        <v>0</v>
      </c>
      <c r="BM45" s="10">
        <f>+IF(Y45&lt;&gt;"",$AS45*Y45,0)</f>
        <v>0</v>
      </c>
      <c r="BN45" s="10">
        <f>+IF(Z45&lt;&gt;"",$AS45*Z45,0)</f>
        <v>0</v>
      </c>
      <c r="BO45" s="10">
        <f>+IF(AA45&lt;&gt;"",$AS45*AA45,0)</f>
        <v>0</v>
      </c>
      <c r="BP45" s="10">
        <f>+IF(AB45&lt;&gt;"",$AS45*AB45,0)</f>
        <v>0</v>
      </c>
      <c r="BQ45" s="10">
        <f>+IF(AC45&lt;&gt;"",$AS45*AC45,0)</f>
        <v>0</v>
      </c>
      <c r="BR45" s="10">
        <f>+IF(AD45&lt;&gt;"",$AS45*AD45,0)</f>
        <v>0</v>
      </c>
      <c r="BS45" s="10">
        <f>+IF(AE45&lt;&gt;"",$AS45*AE45,0)</f>
        <v>0</v>
      </c>
      <c r="BT45" s="10">
        <f>+IF(AF45&lt;&gt;"",$AS45*AF45,0)</f>
        <v>0</v>
      </c>
      <c r="BU45" s="10">
        <f>+IF(AG45&lt;&gt;"",$AS45*AG45,0)</f>
        <v>0</v>
      </c>
      <c r="BV45" s="10">
        <f t="shared" si="31"/>
        <v>9600</v>
      </c>
      <c r="BW45" s="10"/>
      <c r="BX45" s="10">
        <f t="shared" si="27"/>
        <v>4000</v>
      </c>
      <c r="BY45" s="10">
        <f t="shared" si="26"/>
        <v>3200</v>
      </c>
      <c r="BZ45" s="10">
        <f t="shared" si="26"/>
        <v>2400</v>
      </c>
      <c r="CA45" s="10">
        <f t="shared" si="26"/>
        <v>0</v>
      </c>
      <c r="CB45" s="10">
        <f t="shared" si="26"/>
        <v>0</v>
      </c>
      <c r="CC45" s="10">
        <f t="shared" si="26"/>
        <v>0</v>
      </c>
      <c r="CD45" s="10">
        <f t="shared" si="26"/>
        <v>0</v>
      </c>
      <c r="CE45" s="11">
        <f t="shared" si="29"/>
        <v>9600</v>
      </c>
    </row>
    <row r="46" spans="1:83" x14ac:dyDescent="0.2">
      <c r="A46" s="1" t="s">
        <v>18</v>
      </c>
      <c r="B46" s="3" t="str">
        <f t="shared" ref="B46:E50" si="36">+B32</f>
        <v>Dulciana Peche</v>
      </c>
      <c r="C46" s="3" t="str">
        <f t="shared" si="36"/>
        <v>Procurement Specialist</v>
      </c>
      <c r="D46" s="3" t="str">
        <f t="shared" si="36"/>
        <v>Procurement</v>
      </c>
      <c r="E46" s="3" t="str">
        <f t="shared" si="36"/>
        <v>Procurement</v>
      </c>
      <c r="F46" s="3"/>
      <c r="G46" s="2">
        <v>32</v>
      </c>
      <c r="H46" s="2">
        <v>40</v>
      </c>
      <c r="I46" s="2">
        <v>40</v>
      </c>
      <c r="J46" s="2">
        <v>40</v>
      </c>
      <c r="K46" s="2">
        <v>40</v>
      </c>
      <c r="L46" s="2">
        <v>40</v>
      </c>
      <c r="M46" s="2">
        <v>40</v>
      </c>
      <c r="N46" s="2">
        <v>40</v>
      </c>
      <c r="O46" s="2">
        <v>40</v>
      </c>
      <c r="P46" s="2">
        <v>40</v>
      </c>
      <c r="Q46" s="2">
        <v>32</v>
      </c>
      <c r="R46" s="2">
        <v>40</v>
      </c>
      <c r="S46" s="2">
        <v>40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>
        <f t="shared" si="15"/>
        <v>504</v>
      </c>
      <c r="AI46" s="2"/>
      <c r="AJ46" s="2">
        <f t="shared" si="35"/>
        <v>192</v>
      </c>
      <c r="AK46" s="2">
        <f t="shared" si="35"/>
        <v>160</v>
      </c>
      <c r="AL46" s="2">
        <f t="shared" si="35"/>
        <v>152</v>
      </c>
      <c r="AM46" s="2">
        <f t="shared" si="35"/>
        <v>0</v>
      </c>
      <c r="AN46" s="2">
        <f t="shared" si="35"/>
        <v>0</v>
      </c>
      <c r="AO46" s="2">
        <f t="shared" si="35"/>
        <v>0</v>
      </c>
      <c r="AP46" s="2">
        <f t="shared" si="35"/>
        <v>0</v>
      </c>
      <c r="AQ46" s="2">
        <f t="shared" si="16"/>
        <v>504</v>
      </c>
      <c r="AR46" s="2"/>
      <c r="AS46" s="55">
        <f>+AS32</f>
        <v>50</v>
      </c>
      <c r="AT46" s="2"/>
      <c r="AU46" s="10">
        <f>+IF(G46&lt;&gt;"",$AS46*G46,0)</f>
        <v>1600</v>
      </c>
      <c r="AV46" s="10">
        <f>+IF(H46&lt;&gt;"",$AS46*H46,0)</f>
        <v>2000</v>
      </c>
      <c r="AW46" s="10">
        <f>+IF(I46&lt;&gt;"",$AS46*I46,0)</f>
        <v>2000</v>
      </c>
      <c r="AX46" s="10">
        <f>+IF(J46&lt;&gt;"",$AS46*J46,0)</f>
        <v>2000</v>
      </c>
      <c r="AY46" s="10">
        <f>+IF(K46&lt;&gt;"",$AS46*K46,0)</f>
        <v>2000</v>
      </c>
      <c r="AZ46" s="10">
        <f>+IF(L46&lt;&gt;"",$AS46*L46,0)</f>
        <v>2000</v>
      </c>
      <c r="BA46" s="10">
        <f>+IF(M46&lt;&gt;"",$AS46*M46,0)</f>
        <v>2000</v>
      </c>
      <c r="BB46" s="10">
        <f>+IF(N46&lt;&gt;"",$AS46*N46,0)</f>
        <v>2000</v>
      </c>
      <c r="BC46" s="10">
        <f>+IF(O46&lt;&gt;"",$AS46*O46,0)</f>
        <v>2000</v>
      </c>
      <c r="BD46" s="10">
        <f>+IF(P46&lt;&gt;"",$AS46*P46,0)</f>
        <v>2000</v>
      </c>
      <c r="BE46" s="10">
        <f>+IF(Q46&lt;&gt;"",$AS46*Q46,0)</f>
        <v>1600</v>
      </c>
      <c r="BF46" s="10">
        <f>+IF(R46&lt;&gt;"",$AS46*R46,0)</f>
        <v>2000</v>
      </c>
      <c r="BG46" s="10">
        <f>+IF(S46&lt;&gt;"",$AS46*S46,0)</f>
        <v>2000</v>
      </c>
      <c r="BH46" s="10">
        <f>+IF(T46&lt;&gt;"",$AS46*T46,0)</f>
        <v>0</v>
      </c>
      <c r="BI46" s="10">
        <f>+IF(U46&lt;&gt;"",$AS46*U46,0)</f>
        <v>0</v>
      </c>
      <c r="BJ46" s="10">
        <f>+IF(V46&lt;&gt;"",$AS46*V46,0)</f>
        <v>0</v>
      </c>
      <c r="BK46" s="10">
        <f>+IF(W46&lt;&gt;"",$AS46*W46,0)</f>
        <v>0</v>
      </c>
      <c r="BL46" s="10">
        <f>+IF(X46&lt;&gt;"",$AS46*X46,0)</f>
        <v>0</v>
      </c>
      <c r="BM46" s="10">
        <f>+IF(Y46&lt;&gt;"",$AS46*Y46,0)</f>
        <v>0</v>
      </c>
      <c r="BN46" s="10">
        <f>+IF(Z46&lt;&gt;"",$AS46*Z46,0)</f>
        <v>0</v>
      </c>
      <c r="BO46" s="10">
        <f>+IF(AA46&lt;&gt;"",$AS46*AA46,0)</f>
        <v>0</v>
      </c>
      <c r="BP46" s="10">
        <f>+IF(AB46&lt;&gt;"",$AS46*AB46,0)</f>
        <v>0</v>
      </c>
      <c r="BQ46" s="10">
        <f>+IF(AC46&lt;&gt;"",$AS46*AC46,0)</f>
        <v>0</v>
      </c>
      <c r="BR46" s="10">
        <f>+IF(AD46&lt;&gt;"",$AS46*AD46,0)</f>
        <v>0</v>
      </c>
      <c r="BS46" s="10">
        <f>+IF(AE46&lt;&gt;"",$AS46*AE46,0)</f>
        <v>0</v>
      </c>
      <c r="BT46" s="10">
        <f>+IF(AF46&lt;&gt;"",$AS46*AF46,0)</f>
        <v>0</v>
      </c>
      <c r="BU46" s="10">
        <f>+IF(AG46&lt;&gt;"",$AS46*AG46,0)</f>
        <v>0</v>
      </c>
      <c r="BV46" s="10">
        <f t="shared" si="17"/>
        <v>25200</v>
      </c>
      <c r="BW46" s="10"/>
      <c r="BX46" s="10">
        <f t="shared" si="27"/>
        <v>9600</v>
      </c>
      <c r="BY46" s="10">
        <f t="shared" si="26"/>
        <v>8000</v>
      </c>
      <c r="BZ46" s="10">
        <f t="shared" si="26"/>
        <v>7600</v>
      </c>
      <c r="CA46" s="10">
        <f t="shared" si="26"/>
        <v>0</v>
      </c>
      <c r="CB46" s="10">
        <f t="shared" si="26"/>
        <v>0</v>
      </c>
      <c r="CC46" s="10">
        <f t="shared" si="26"/>
        <v>0</v>
      </c>
      <c r="CD46" s="10">
        <f t="shared" si="26"/>
        <v>0</v>
      </c>
      <c r="CE46" s="11">
        <f t="shared" si="29"/>
        <v>25200</v>
      </c>
    </row>
    <row r="47" spans="1:83" x14ac:dyDescent="0.2">
      <c r="A47" s="1" t="s">
        <v>18</v>
      </c>
      <c r="B47" s="3" t="str">
        <f t="shared" si="36"/>
        <v>Alejoa O'Heffernan</v>
      </c>
      <c r="C47" s="3" t="str">
        <f t="shared" si="36"/>
        <v>Contracts Engineer</v>
      </c>
      <c r="D47" s="3" t="str">
        <f t="shared" si="36"/>
        <v>Procurement</v>
      </c>
      <c r="E47" s="3" t="str">
        <f t="shared" si="36"/>
        <v>Procurement</v>
      </c>
      <c r="F47" s="3"/>
      <c r="G47" s="2">
        <v>8</v>
      </c>
      <c r="H47" s="2">
        <v>16</v>
      </c>
      <c r="I47" s="2">
        <v>16</v>
      </c>
      <c r="J47" s="2">
        <v>16</v>
      </c>
      <c r="K47" s="2">
        <v>16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>
        <f t="shared" si="15"/>
        <v>72</v>
      </c>
      <c r="AI47" s="2"/>
      <c r="AJ47" s="2">
        <f t="shared" si="35"/>
        <v>72</v>
      </c>
      <c r="AK47" s="2">
        <f t="shared" si="35"/>
        <v>0</v>
      </c>
      <c r="AL47" s="2">
        <f t="shared" si="35"/>
        <v>0</v>
      </c>
      <c r="AM47" s="2">
        <f t="shared" si="35"/>
        <v>0</v>
      </c>
      <c r="AN47" s="2">
        <f t="shared" si="35"/>
        <v>0</v>
      </c>
      <c r="AO47" s="2">
        <f t="shared" si="35"/>
        <v>0</v>
      </c>
      <c r="AP47" s="2">
        <f t="shared" si="35"/>
        <v>0</v>
      </c>
      <c r="AQ47" s="2">
        <f t="shared" si="16"/>
        <v>72</v>
      </c>
      <c r="AR47" s="2"/>
      <c r="AS47" s="55">
        <f t="shared" ref="AS47" si="37">+AS33</f>
        <v>50</v>
      </c>
      <c r="AT47" s="2"/>
      <c r="AU47" s="10">
        <f>+IF(G47&lt;&gt;"",$AS47*G47,0)</f>
        <v>400</v>
      </c>
      <c r="AV47" s="10">
        <f>+IF(H47&lt;&gt;"",$AS47*H47,0)</f>
        <v>800</v>
      </c>
      <c r="AW47" s="10">
        <f>+IF(I47&lt;&gt;"",$AS47*I47,0)</f>
        <v>800</v>
      </c>
      <c r="AX47" s="10">
        <f>+IF(J47&lt;&gt;"",$AS47*J47,0)</f>
        <v>800</v>
      </c>
      <c r="AY47" s="10">
        <f>+IF(K47&lt;&gt;"",$AS47*K47,0)</f>
        <v>800</v>
      </c>
      <c r="AZ47" s="10">
        <f>+IF(L47&lt;&gt;"",$AS47*L47,0)</f>
        <v>0</v>
      </c>
      <c r="BA47" s="10">
        <f>+IF(M47&lt;&gt;"",$AS47*M47,0)</f>
        <v>0</v>
      </c>
      <c r="BB47" s="10">
        <f>+IF(N47&lt;&gt;"",$AS47*N47,0)</f>
        <v>0</v>
      </c>
      <c r="BC47" s="10">
        <f>+IF(O47&lt;&gt;"",$AS47*O47,0)</f>
        <v>0</v>
      </c>
      <c r="BD47" s="10">
        <f>+IF(P47&lt;&gt;"",$AS47*P47,0)</f>
        <v>0</v>
      </c>
      <c r="BE47" s="10">
        <f>+IF(Q47&lt;&gt;"",$AS47*Q47,0)</f>
        <v>0</v>
      </c>
      <c r="BF47" s="10">
        <f>+IF(R47&lt;&gt;"",$AS47*R47,0)</f>
        <v>0</v>
      </c>
      <c r="BG47" s="10">
        <f>+IF(S47&lt;&gt;"",$AS47*S47,0)</f>
        <v>0</v>
      </c>
      <c r="BH47" s="10">
        <f>+IF(T47&lt;&gt;"",$AS47*T47,0)</f>
        <v>0</v>
      </c>
      <c r="BI47" s="10">
        <f>+IF(U47&lt;&gt;"",$AS47*U47,0)</f>
        <v>0</v>
      </c>
      <c r="BJ47" s="10">
        <f>+IF(V47&lt;&gt;"",$AS47*V47,0)</f>
        <v>0</v>
      </c>
      <c r="BK47" s="10">
        <f>+IF(W47&lt;&gt;"",$AS47*W47,0)</f>
        <v>0</v>
      </c>
      <c r="BL47" s="10">
        <f>+IF(X47&lt;&gt;"",$AS47*X47,0)</f>
        <v>0</v>
      </c>
      <c r="BM47" s="10">
        <f>+IF(Y47&lt;&gt;"",$AS47*Y47,0)</f>
        <v>0</v>
      </c>
      <c r="BN47" s="10">
        <f>+IF(Z47&lt;&gt;"",$AS47*Z47,0)</f>
        <v>0</v>
      </c>
      <c r="BO47" s="10">
        <f>+IF(AA47&lt;&gt;"",$AS47*AA47,0)</f>
        <v>0</v>
      </c>
      <c r="BP47" s="10">
        <f>+IF(AB47&lt;&gt;"",$AS47*AB47,0)</f>
        <v>0</v>
      </c>
      <c r="BQ47" s="10">
        <f>+IF(AC47&lt;&gt;"",$AS47*AC47,0)</f>
        <v>0</v>
      </c>
      <c r="BR47" s="10">
        <f>+IF(AD47&lt;&gt;"",$AS47*AD47,0)</f>
        <v>0</v>
      </c>
      <c r="BS47" s="10">
        <f>+IF(AE47&lt;&gt;"",$AS47*AE47,0)</f>
        <v>0</v>
      </c>
      <c r="BT47" s="10">
        <f>+IF(AF47&lt;&gt;"",$AS47*AF47,0)</f>
        <v>0</v>
      </c>
      <c r="BU47" s="10">
        <f>+IF(AG47&lt;&gt;"",$AS47*AG47,0)</f>
        <v>0</v>
      </c>
      <c r="BV47" s="10">
        <f t="shared" si="17"/>
        <v>3600</v>
      </c>
      <c r="BW47" s="10"/>
      <c r="BX47" s="10">
        <f t="shared" si="27"/>
        <v>3600</v>
      </c>
      <c r="BY47" s="10">
        <f t="shared" si="26"/>
        <v>0</v>
      </c>
      <c r="BZ47" s="10">
        <f t="shared" si="26"/>
        <v>0</v>
      </c>
      <c r="CA47" s="10">
        <f t="shared" si="26"/>
        <v>0</v>
      </c>
      <c r="CB47" s="10">
        <f t="shared" si="26"/>
        <v>0</v>
      </c>
      <c r="CC47" s="10">
        <f t="shared" si="26"/>
        <v>0</v>
      </c>
      <c r="CD47" s="10">
        <f t="shared" si="26"/>
        <v>0</v>
      </c>
      <c r="CE47" s="11">
        <f t="shared" si="29"/>
        <v>3600</v>
      </c>
    </row>
    <row r="48" spans="1:83" x14ac:dyDescent="0.2">
      <c r="A48" s="1" t="s">
        <v>18</v>
      </c>
      <c r="B48" s="3" t="str">
        <f t="shared" si="36"/>
        <v>Jayme Shufflebotham</v>
      </c>
      <c r="C48" s="3" t="str">
        <f t="shared" si="36"/>
        <v>Project Controls Lead</v>
      </c>
      <c r="D48" s="3" t="str">
        <f t="shared" si="36"/>
        <v>Project Controls</v>
      </c>
      <c r="E48" s="3" t="str">
        <f t="shared" si="36"/>
        <v>Non-engineering</v>
      </c>
      <c r="F48" s="3"/>
      <c r="G48" s="2">
        <v>24</v>
      </c>
      <c r="H48" s="2">
        <v>32</v>
      </c>
      <c r="I48" s="2">
        <v>32</v>
      </c>
      <c r="J48" s="2">
        <v>32</v>
      </c>
      <c r="K48" s="2">
        <v>32</v>
      </c>
      <c r="L48" s="2">
        <v>32</v>
      </c>
      <c r="M48" s="2">
        <v>32</v>
      </c>
      <c r="N48" s="2">
        <v>32</v>
      </c>
      <c r="O48" s="2">
        <v>32</v>
      </c>
      <c r="P48" s="2">
        <v>32</v>
      </c>
      <c r="Q48" s="2">
        <v>24</v>
      </c>
      <c r="R48" s="2">
        <v>32</v>
      </c>
      <c r="S48" s="2">
        <v>32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>
        <f t="shared" si="15"/>
        <v>400</v>
      </c>
      <c r="AI48" s="2"/>
      <c r="AJ48" s="2">
        <f t="shared" si="35"/>
        <v>152</v>
      </c>
      <c r="AK48" s="2">
        <f t="shared" si="35"/>
        <v>128</v>
      </c>
      <c r="AL48" s="2">
        <f t="shared" si="35"/>
        <v>120</v>
      </c>
      <c r="AM48" s="2">
        <f t="shared" si="35"/>
        <v>0</v>
      </c>
      <c r="AN48" s="2">
        <f t="shared" si="35"/>
        <v>0</v>
      </c>
      <c r="AO48" s="2">
        <f t="shared" si="35"/>
        <v>0</v>
      </c>
      <c r="AP48" s="2">
        <f t="shared" si="35"/>
        <v>0</v>
      </c>
      <c r="AQ48" s="2">
        <f t="shared" si="16"/>
        <v>400</v>
      </c>
      <c r="AR48" s="2"/>
      <c r="AS48" s="55">
        <f t="shared" ref="AS48:AS50" si="38">+AS34</f>
        <v>100</v>
      </c>
      <c r="AT48" s="2"/>
      <c r="AU48" s="10">
        <f>+IF(G48&lt;&gt;"",$AS48*G48,0)</f>
        <v>2400</v>
      </c>
      <c r="AV48" s="10">
        <f>+IF(H48&lt;&gt;"",$AS48*H48,0)</f>
        <v>3200</v>
      </c>
      <c r="AW48" s="10">
        <f>+IF(I48&lt;&gt;"",$AS48*I48,0)</f>
        <v>3200</v>
      </c>
      <c r="AX48" s="10">
        <f>+IF(J48&lt;&gt;"",$AS48*J48,0)</f>
        <v>3200</v>
      </c>
      <c r="AY48" s="10">
        <f>+IF(K48&lt;&gt;"",$AS48*K48,0)</f>
        <v>3200</v>
      </c>
      <c r="AZ48" s="10">
        <f>+IF(L48&lt;&gt;"",$AS48*L48,0)</f>
        <v>3200</v>
      </c>
      <c r="BA48" s="10">
        <f>+IF(M48&lt;&gt;"",$AS48*M48,0)</f>
        <v>3200</v>
      </c>
      <c r="BB48" s="10">
        <f>+IF(N48&lt;&gt;"",$AS48*N48,0)</f>
        <v>3200</v>
      </c>
      <c r="BC48" s="10">
        <f>+IF(O48&lt;&gt;"",$AS48*O48,0)</f>
        <v>3200</v>
      </c>
      <c r="BD48" s="10">
        <f>+IF(P48&lt;&gt;"",$AS48*P48,0)</f>
        <v>3200</v>
      </c>
      <c r="BE48" s="10">
        <f>+IF(Q48&lt;&gt;"",$AS48*Q48,0)</f>
        <v>2400</v>
      </c>
      <c r="BF48" s="10">
        <f>+IF(R48&lt;&gt;"",$AS48*R48,0)</f>
        <v>3200</v>
      </c>
      <c r="BG48" s="10">
        <f>+IF(S48&lt;&gt;"",$AS48*S48,0)</f>
        <v>3200</v>
      </c>
      <c r="BH48" s="10">
        <f>+IF(T48&lt;&gt;"",$AS48*T48,0)</f>
        <v>0</v>
      </c>
      <c r="BI48" s="10">
        <f>+IF(U48&lt;&gt;"",$AS48*U48,0)</f>
        <v>0</v>
      </c>
      <c r="BJ48" s="10">
        <f>+IF(V48&lt;&gt;"",$AS48*V48,0)</f>
        <v>0</v>
      </c>
      <c r="BK48" s="10">
        <f>+IF(W48&lt;&gt;"",$AS48*W48,0)</f>
        <v>0</v>
      </c>
      <c r="BL48" s="10">
        <f>+IF(X48&lt;&gt;"",$AS48*X48,0)</f>
        <v>0</v>
      </c>
      <c r="BM48" s="10">
        <f>+IF(Y48&lt;&gt;"",$AS48*Y48,0)</f>
        <v>0</v>
      </c>
      <c r="BN48" s="10">
        <f>+IF(Z48&lt;&gt;"",$AS48*Z48,0)</f>
        <v>0</v>
      </c>
      <c r="BO48" s="10">
        <f>+IF(AA48&lt;&gt;"",$AS48*AA48,0)</f>
        <v>0</v>
      </c>
      <c r="BP48" s="10">
        <f>+IF(AB48&lt;&gt;"",$AS48*AB48,0)</f>
        <v>0</v>
      </c>
      <c r="BQ48" s="10">
        <f>+IF(AC48&lt;&gt;"",$AS48*AC48,0)</f>
        <v>0</v>
      </c>
      <c r="BR48" s="10">
        <f>+IF(AD48&lt;&gt;"",$AS48*AD48,0)</f>
        <v>0</v>
      </c>
      <c r="BS48" s="10">
        <f>+IF(AE48&lt;&gt;"",$AS48*AE48,0)</f>
        <v>0</v>
      </c>
      <c r="BT48" s="10">
        <f>+IF(AF48&lt;&gt;"",$AS48*AF48,0)</f>
        <v>0</v>
      </c>
      <c r="BU48" s="10">
        <f>+IF(AG48&lt;&gt;"",$AS48*AG48,0)</f>
        <v>0</v>
      </c>
      <c r="BV48" s="10">
        <f t="shared" si="17"/>
        <v>40000</v>
      </c>
      <c r="BW48" s="10"/>
      <c r="BX48" s="10">
        <f t="shared" si="27"/>
        <v>15200</v>
      </c>
      <c r="BY48" s="10">
        <f t="shared" si="26"/>
        <v>12800</v>
      </c>
      <c r="BZ48" s="10">
        <f t="shared" si="26"/>
        <v>12000</v>
      </c>
      <c r="CA48" s="10">
        <f t="shared" si="26"/>
        <v>0</v>
      </c>
      <c r="CB48" s="10">
        <f t="shared" si="26"/>
        <v>0</v>
      </c>
      <c r="CC48" s="10">
        <f t="shared" si="26"/>
        <v>0</v>
      </c>
      <c r="CD48" s="10">
        <f t="shared" si="26"/>
        <v>0</v>
      </c>
      <c r="CE48" s="11">
        <f t="shared" si="29"/>
        <v>40000</v>
      </c>
    </row>
    <row r="49" spans="1:83" x14ac:dyDescent="0.2">
      <c r="A49" s="1" t="s">
        <v>18</v>
      </c>
      <c r="B49" s="3" t="str">
        <f t="shared" si="36"/>
        <v>Aydan Kazimzade</v>
      </c>
      <c r="C49" s="3" t="str">
        <f t="shared" si="36"/>
        <v>Associate Cost Controller</v>
      </c>
      <c r="D49" s="3" t="str">
        <f t="shared" si="36"/>
        <v>Project Controls</v>
      </c>
      <c r="E49" s="3" t="str">
        <f t="shared" si="36"/>
        <v>Non-engineering</v>
      </c>
      <c r="F49" s="3"/>
      <c r="G49" s="2">
        <v>32</v>
      </c>
      <c r="H49" s="2">
        <v>40</v>
      </c>
      <c r="I49" s="2">
        <v>40</v>
      </c>
      <c r="J49" s="2">
        <v>40</v>
      </c>
      <c r="K49" s="2">
        <v>40</v>
      </c>
      <c r="L49" s="2">
        <v>40</v>
      </c>
      <c r="M49" s="2">
        <v>40</v>
      </c>
      <c r="N49" s="2">
        <v>40</v>
      </c>
      <c r="O49" s="2">
        <v>40</v>
      </c>
      <c r="P49" s="2">
        <v>40</v>
      </c>
      <c r="Q49" s="2">
        <v>32</v>
      </c>
      <c r="R49" s="2">
        <v>40</v>
      </c>
      <c r="S49" s="2">
        <v>40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>
        <f t="shared" si="15"/>
        <v>504</v>
      </c>
      <c r="AI49" s="2"/>
      <c r="AJ49" s="2">
        <f t="shared" si="35"/>
        <v>192</v>
      </c>
      <c r="AK49" s="2">
        <f t="shared" si="35"/>
        <v>160</v>
      </c>
      <c r="AL49" s="2">
        <f t="shared" si="35"/>
        <v>152</v>
      </c>
      <c r="AM49" s="2">
        <f t="shared" si="35"/>
        <v>0</v>
      </c>
      <c r="AN49" s="2">
        <f t="shared" si="35"/>
        <v>0</v>
      </c>
      <c r="AO49" s="2">
        <f t="shared" si="35"/>
        <v>0</v>
      </c>
      <c r="AP49" s="2">
        <f t="shared" si="35"/>
        <v>0</v>
      </c>
      <c r="AQ49" s="2">
        <f t="shared" si="16"/>
        <v>504</v>
      </c>
      <c r="AR49" s="2"/>
      <c r="AS49" s="55">
        <f t="shared" si="38"/>
        <v>30</v>
      </c>
      <c r="AT49" s="2"/>
      <c r="AU49" s="10">
        <f>+IF(G49&lt;&gt;"",$AS49*G49,0)</f>
        <v>960</v>
      </c>
      <c r="AV49" s="10">
        <f>+IF(H49&lt;&gt;"",$AS49*H49,0)</f>
        <v>1200</v>
      </c>
      <c r="AW49" s="10">
        <f>+IF(I49&lt;&gt;"",$AS49*I49,0)</f>
        <v>1200</v>
      </c>
      <c r="AX49" s="10">
        <f>+IF(J49&lt;&gt;"",$AS49*J49,0)</f>
        <v>1200</v>
      </c>
      <c r="AY49" s="10">
        <f>+IF(K49&lt;&gt;"",$AS49*K49,0)</f>
        <v>1200</v>
      </c>
      <c r="AZ49" s="10">
        <f>+IF(L49&lt;&gt;"",$AS49*L49,0)</f>
        <v>1200</v>
      </c>
      <c r="BA49" s="10">
        <f>+IF(M49&lt;&gt;"",$AS49*M49,0)</f>
        <v>1200</v>
      </c>
      <c r="BB49" s="10">
        <f>+IF(N49&lt;&gt;"",$AS49*N49,0)</f>
        <v>1200</v>
      </c>
      <c r="BC49" s="10">
        <f>+IF(O49&lt;&gt;"",$AS49*O49,0)</f>
        <v>1200</v>
      </c>
      <c r="BD49" s="10">
        <f>+IF(P49&lt;&gt;"",$AS49*P49,0)</f>
        <v>1200</v>
      </c>
      <c r="BE49" s="10">
        <f>+IF(Q49&lt;&gt;"",$AS49*Q49,0)</f>
        <v>960</v>
      </c>
      <c r="BF49" s="10">
        <f>+IF(R49&lt;&gt;"",$AS49*R49,0)</f>
        <v>1200</v>
      </c>
      <c r="BG49" s="10">
        <f>+IF(S49&lt;&gt;"",$AS49*S49,0)</f>
        <v>1200</v>
      </c>
      <c r="BH49" s="10">
        <f>+IF(T49&lt;&gt;"",$AS49*T49,0)</f>
        <v>0</v>
      </c>
      <c r="BI49" s="10">
        <f>+IF(U49&lt;&gt;"",$AS49*U49,0)</f>
        <v>0</v>
      </c>
      <c r="BJ49" s="10">
        <f>+IF(V49&lt;&gt;"",$AS49*V49,0)</f>
        <v>0</v>
      </c>
      <c r="BK49" s="10">
        <f>+IF(W49&lt;&gt;"",$AS49*W49,0)</f>
        <v>0</v>
      </c>
      <c r="BL49" s="10">
        <f>+IF(X49&lt;&gt;"",$AS49*X49,0)</f>
        <v>0</v>
      </c>
      <c r="BM49" s="10">
        <f>+IF(Y49&lt;&gt;"",$AS49*Y49,0)</f>
        <v>0</v>
      </c>
      <c r="BN49" s="10">
        <f>+IF(Z49&lt;&gt;"",$AS49*Z49,0)</f>
        <v>0</v>
      </c>
      <c r="BO49" s="10">
        <f>+IF(AA49&lt;&gt;"",$AS49*AA49,0)</f>
        <v>0</v>
      </c>
      <c r="BP49" s="10">
        <f>+IF(AB49&lt;&gt;"",$AS49*AB49,0)</f>
        <v>0</v>
      </c>
      <c r="BQ49" s="10">
        <f>+IF(AC49&lt;&gt;"",$AS49*AC49,0)</f>
        <v>0</v>
      </c>
      <c r="BR49" s="10">
        <f>+IF(AD49&lt;&gt;"",$AS49*AD49,0)</f>
        <v>0</v>
      </c>
      <c r="BS49" s="10">
        <f>+IF(AE49&lt;&gt;"",$AS49*AE49,0)</f>
        <v>0</v>
      </c>
      <c r="BT49" s="10">
        <f>+IF(AF49&lt;&gt;"",$AS49*AF49,0)</f>
        <v>0</v>
      </c>
      <c r="BU49" s="10">
        <f>+IF(AG49&lt;&gt;"",$AS49*AG49,0)</f>
        <v>0</v>
      </c>
      <c r="BV49" s="10">
        <f t="shared" si="17"/>
        <v>15120</v>
      </c>
      <c r="BW49" s="10"/>
      <c r="BX49" s="10">
        <f t="shared" si="27"/>
        <v>5760</v>
      </c>
      <c r="BY49" s="10">
        <f t="shared" si="26"/>
        <v>4800</v>
      </c>
      <c r="BZ49" s="10">
        <f t="shared" si="26"/>
        <v>4560</v>
      </c>
      <c r="CA49" s="10">
        <f t="shared" si="26"/>
        <v>0</v>
      </c>
      <c r="CB49" s="10">
        <f t="shared" si="26"/>
        <v>0</v>
      </c>
      <c r="CC49" s="10">
        <f t="shared" si="26"/>
        <v>0</v>
      </c>
      <c r="CD49" s="10">
        <f t="shared" si="26"/>
        <v>0</v>
      </c>
      <c r="CE49" s="11">
        <f t="shared" si="29"/>
        <v>15120</v>
      </c>
    </row>
    <row r="50" spans="1:83" x14ac:dyDescent="0.2">
      <c r="A50" s="1" t="s">
        <v>18</v>
      </c>
      <c r="B50" s="3" t="str">
        <f t="shared" si="36"/>
        <v>Abbey McAllister</v>
      </c>
      <c r="C50" s="3" t="str">
        <f t="shared" si="36"/>
        <v>Project Information Manager</v>
      </c>
      <c r="D50" s="3" t="str">
        <f t="shared" si="36"/>
        <v>Information Management</v>
      </c>
      <c r="E50" s="3" t="str">
        <f t="shared" si="36"/>
        <v>Non-engineering</v>
      </c>
      <c r="F50" s="3"/>
      <c r="G50" s="2">
        <v>32</v>
      </c>
      <c r="H50" s="2">
        <v>40</v>
      </c>
      <c r="I50" s="2">
        <v>40</v>
      </c>
      <c r="J50" s="2">
        <v>40</v>
      </c>
      <c r="K50" s="2">
        <v>40</v>
      </c>
      <c r="L50" s="2">
        <v>40</v>
      </c>
      <c r="M50" s="2">
        <v>40</v>
      </c>
      <c r="N50" s="2">
        <v>40</v>
      </c>
      <c r="O50" s="2">
        <v>40</v>
      </c>
      <c r="P50" s="2">
        <v>40</v>
      </c>
      <c r="Q50" s="2">
        <v>32</v>
      </c>
      <c r="R50" s="2">
        <v>40</v>
      </c>
      <c r="S50" s="2">
        <v>40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>
        <f t="shared" si="15"/>
        <v>504</v>
      </c>
      <c r="AI50" s="2"/>
      <c r="AJ50" s="2">
        <f t="shared" si="35"/>
        <v>192</v>
      </c>
      <c r="AK50" s="2">
        <f t="shared" si="35"/>
        <v>160</v>
      </c>
      <c r="AL50" s="2">
        <f t="shared" si="35"/>
        <v>152</v>
      </c>
      <c r="AM50" s="2">
        <f t="shared" si="35"/>
        <v>0</v>
      </c>
      <c r="AN50" s="2">
        <f t="shared" si="35"/>
        <v>0</v>
      </c>
      <c r="AO50" s="2">
        <f t="shared" si="35"/>
        <v>0</v>
      </c>
      <c r="AP50" s="2">
        <f t="shared" si="35"/>
        <v>0</v>
      </c>
      <c r="AQ50" s="2">
        <f t="shared" si="16"/>
        <v>504</v>
      </c>
      <c r="AR50" s="2"/>
      <c r="AS50" s="55">
        <f t="shared" si="38"/>
        <v>100</v>
      </c>
      <c r="AT50" s="2"/>
      <c r="AU50" s="10">
        <f>+IF(G50&lt;&gt;"",$AS50*G50,0)</f>
        <v>3200</v>
      </c>
      <c r="AV50" s="10">
        <f>+IF(H50&lt;&gt;"",$AS50*H50,0)</f>
        <v>4000</v>
      </c>
      <c r="AW50" s="10">
        <f>+IF(I50&lt;&gt;"",$AS50*I50,0)</f>
        <v>4000</v>
      </c>
      <c r="AX50" s="10">
        <f>+IF(J50&lt;&gt;"",$AS50*J50,0)</f>
        <v>4000</v>
      </c>
      <c r="AY50" s="10">
        <f>+IF(K50&lt;&gt;"",$AS50*K50,0)</f>
        <v>4000</v>
      </c>
      <c r="AZ50" s="10">
        <f>+IF(L50&lt;&gt;"",$AS50*L50,0)</f>
        <v>4000</v>
      </c>
      <c r="BA50" s="10">
        <f>+IF(M50&lt;&gt;"",$AS50*M50,0)</f>
        <v>4000</v>
      </c>
      <c r="BB50" s="10">
        <f>+IF(N50&lt;&gt;"",$AS50*N50,0)</f>
        <v>4000</v>
      </c>
      <c r="BC50" s="10">
        <f>+IF(O50&lt;&gt;"",$AS50*O50,0)</f>
        <v>4000</v>
      </c>
      <c r="BD50" s="10">
        <f>+IF(P50&lt;&gt;"",$AS50*P50,0)</f>
        <v>4000</v>
      </c>
      <c r="BE50" s="10">
        <f>+IF(Q50&lt;&gt;"",$AS50*Q50,0)</f>
        <v>3200</v>
      </c>
      <c r="BF50" s="10">
        <f>+IF(R50&lt;&gt;"",$AS50*R50,0)</f>
        <v>4000</v>
      </c>
      <c r="BG50" s="10">
        <f>+IF(S50&lt;&gt;"",$AS50*S50,0)</f>
        <v>4000</v>
      </c>
      <c r="BH50" s="10">
        <f>+IF(T50&lt;&gt;"",$AS50*T50,0)</f>
        <v>0</v>
      </c>
      <c r="BI50" s="10">
        <f>+IF(U50&lt;&gt;"",$AS50*U50,0)</f>
        <v>0</v>
      </c>
      <c r="BJ50" s="10">
        <f>+IF(V50&lt;&gt;"",$AS50*V50,0)</f>
        <v>0</v>
      </c>
      <c r="BK50" s="10">
        <f>+IF(W50&lt;&gt;"",$AS50*W50,0)</f>
        <v>0</v>
      </c>
      <c r="BL50" s="10">
        <f>+IF(X50&lt;&gt;"",$AS50*X50,0)</f>
        <v>0</v>
      </c>
      <c r="BM50" s="10">
        <f>+IF(Y50&lt;&gt;"",$AS50*Y50,0)</f>
        <v>0</v>
      </c>
      <c r="BN50" s="10">
        <f>+IF(Z50&lt;&gt;"",$AS50*Z50,0)</f>
        <v>0</v>
      </c>
      <c r="BO50" s="10">
        <f>+IF(AA50&lt;&gt;"",$AS50*AA50,0)</f>
        <v>0</v>
      </c>
      <c r="BP50" s="10">
        <f>+IF(AB50&lt;&gt;"",$AS50*AB50,0)</f>
        <v>0</v>
      </c>
      <c r="BQ50" s="10">
        <f>+IF(AC50&lt;&gt;"",$AS50*AC50,0)</f>
        <v>0</v>
      </c>
      <c r="BR50" s="10">
        <f>+IF(AD50&lt;&gt;"",$AS50*AD50,0)</f>
        <v>0</v>
      </c>
      <c r="BS50" s="10">
        <f>+IF(AE50&lt;&gt;"",$AS50*AE50,0)</f>
        <v>0</v>
      </c>
      <c r="BT50" s="10">
        <f>+IF(AF50&lt;&gt;"",$AS50*AF50,0)</f>
        <v>0</v>
      </c>
      <c r="BU50" s="10">
        <f>+IF(AG50&lt;&gt;"",$AS50*AG50,0)</f>
        <v>0</v>
      </c>
      <c r="BV50" s="10">
        <f t="shared" si="17"/>
        <v>50400</v>
      </c>
      <c r="BW50" s="10"/>
      <c r="BX50" s="10">
        <f t="shared" si="27"/>
        <v>19200</v>
      </c>
      <c r="BY50" s="10">
        <f t="shared" si="26"/>
        <v>16000</v>
      </c>
      <c r="BZ50" s="10">
        <f t="shared" si="26"/>
        <v>15200</v>
      </c>
      <c r="CA50" s="10">
        <f t="shared" si="26"/>
        <v>0</v>
      </c>
      <c r="CB50" s="10">
        <f t="shared" si="26"/>
        <v>0</v>
      </c>
      <c r="CC50" s="10">
        <f t="shared" si="26"/>
        <v>0</v>
      </c>
      <c r="CD50" s="10">
        <f t="shared" si="26"/>
        <v>0</v>
      </c>
      <c r="CE50" s="11">
        <f t="shared" si="29"/>
        <v>50400</v>
      </c>
    </row>
    <row r="51" spans="1:83" x14ac:dyDescent="0.2">
      <c r="A51" s="75"/>
      <c r="B51" s="76"/>
      <c r="C51" s="77"/>
      <c r="D51" s="76"/>
      <c r="E51" s="76"/>
      <c r="F51" s="79" t="s">
        <v>32</v>
      </c>
      <c r="G51" s="74">
        <f>+SUBTOTAL(9,G$39:G$50)</f>
        <v>280</v>
      </c>
      <c r="H51" s="74">
        <f t="shared" ref="H51:AH51" si="39">+SUBTOTAL(9,H$39:H$50)</f>
        <v>360</v>
      </c>
      <c r="I51" s="74">
        <f t="shared" si="39"/>
        <v>360</v>
      </c>
      <c r="J51" s="74">
        <f t="shared" si="39"/>
        <v>360</v>
      </c>
      <c r="K51" s="74">
        <f t="shared" si="39"/>
        <v>360</v>
      </c>
      <c r="L51" s="74">
        <f t="shared" si="39"/>
        <v>344</v>
      </c>
      <c r="M51" s="74">
        <f t="shared" si="39"/>
        <v>344</v>
      </c>
      <c r="N51" s="74">
        <f t="shared" si="39"/>
        <v>344</v>
      </c>
      <c r="O51" s="74">
        <f t="shared" si="39"/>
        <v>344</v>
      </c>
      <c r="P51" s="74">
        <f t="shared" si="39"/>
        <v>344</v>
      </c>
      <c r="Q51" s="74">
        <f t="shared" si="39"/>
        <v>256</v>
      </c>
      <c r="R51" s="74">
        <f t="shared" si="39"/>
        <v>344</v>
      </c>
      <c r="S51" s="74">
        <f t="shared" si="39"/>
        <v>336</v>
      </c>
      <c r="T51" s="74">
        <f t="shared" si="39"/>
        <v>0</v>
      </c>
      <c r="U51" s="74">
        <f t="shared" si="39"/>
        <v>0</v>
      </c>
      <c r="V51" s="74">
        <f t="shared" si="39"/>
        <v>0</v>
      </c>
      <c r="W51" s="74">
        <f t="shared" si="39"/>
        <v>0</v>
      </c>
      <c r="X51" s="74">
        <f t="shared" si="39"/>
        <v>0</v>
      </c>
      <c r="Y51" s="74">
        <f t="shared" si="39"/>
        <v>0</v>
      </c>
      <c r="Z51" s="74">
        <f t="shared" si="39"/>
        <v>0</v>
      </c>
      <c r="AA51" s="74">
        <f t="shared" si="39"/>
        <v>0</v>
      </c>
      <c r="AB51" s="74">
        <f t="shared" si="39"/>
        <v>0</v>
      </c>
      <c r="AC51" s="74">
        <f t="shared" si="39"/>
        <v>0</v>
      </c>
      <c r="AD51" s="74">
        <f t="shared" si="39"/>
        <v>0</v>
      </c>
      <c r="AE51" s="74">
        <f t="shared" si="39"/>
        <v>0</v>
      </c>
      <c r="AF51" s="74">
        <f t="shared" si="39"/>
        <v>0</v>
      </c>
      <c r="AG51" s="74">
        <f t="shared" si="39"/>
        <v>0</v>
      </c>
      <c r="AH51" s="74">
        <f t="shared" si="39"/>
        <v>4376</v>
      </c>
      <c r="AI51" s="78"/>
      <c r="AJ51" s="74">
        <f>+SUBTOTAL(9,AJ$39:AJ$50)</f>
        <v>1720</v>
      </c>
      <c r="AK51" s="74">
        <f t="shared" ref="AK51:AQ51" si="40">+SUBTOTAL(9,AK$39:AK$50)</f>
        <v>1376</v>
      </c>
      <c r="AL51" s="74">
        <f t="shared" si="40"/>
        <v>1280</v>
      </c>
      <c r="AM51" s="74">
        <f t="shared" si="40"/>
        <v>0</v>
      </c>
      <c r="AN51" s="74">
        <f t="shared" si="40"/>
        <v>0</v>
      </c>
      <c r="AO51" s="74">
        <f t="shared" si="40"/>
        <v>0</v>
      </c>
      <c r="AP51" s="74">
        <f t="shared" si="40"/>
        <v>0</v>
      </c>
      <c r="AQ51" s="74">
        <f t="shared" si="40"/>
        <v>4376</v>
      </c>
      <c r="AR51" s="76"/>
      <c r="AS51" s="76"/>
      <c r="AT51" s="76"/>
      <c r="AU51" s="80">
        <f>+SUBTOTAL(9,AU$39:AU$50)</f>
        <v>18720</v>
      </c>
      <c r="AV51" s="80">
        <f t="shared" ref="AV51:BV51" si="41">+SUBTOTAL(9,AV$39:AV$50)</f>
        <v>24080</v>
      </c>
      <c r="AW51" s="80">
        <f t="shared" si="41"/>
        <v>24080</v>
      </c>
      <c r="AX51" s="80">
        <f t="shared" si="41"/>
        <v>24080</v>
      </c>
      <c r="AY51" s="80">
        <f t="shared" si="41"/>
        <v>24080</v>
      </c>
      <c r="AZ51" s="80">
        <f t="shared" si="41"/>
        <v>23280</v>
      </c>
      <c r="BA51" s="80">
        <f t="shared" si="41"/>
        <v>23280</v>
      </c>
      <c r="BB51" s="80">
        <f t="shared" si="41"/>
        <v>23280</v>
      </c>
      <c r="BC51" s="80">
        <f t="shared" si="41"/>
        <v>23280</v>
      </c>
      <c r="BD51" s="80">
        <f t="shared" si="41"/>
        <v>23280</v>
      </c>
      <c r="BE51" s="80">
        <f t="shared" si="41"/>
        <v>17600</v>
      </c>
      <c r="BF51" s="80">
        <f t="shared" si="41"/>
        <v>23280</v>
      </c>
      <c r="BG51" s="80">
        <f t="shared" si="41"/>
        <v>22880</v>
      </c>
      <c r="BH51" s="80">
        <f t="shared" si="41"/>
        <v>0</v>
      </c>
      <c r="BI51" s="80">
        <f t="shared" si="41"/>
        <v>0</v>
      </c>
      <c r="BJ51" s="80">
        <f t="shared" si="41"/>
        <v>0</v>
      </c>
      <c r="BK51" s="80">
        <f t="shared" si="41"/>
        <v>0</v>
      </c>
      <c r="BL51" s="80">
        <f t="shared" si="41"/>
        <v>0</v>
      </c>
      <c r="BM51" s="80">
        <f t="shared" si="41"/>
        <v>0</v>
      </c>
      <c r="BN51" s="80">
        <f t="shared" si="41"/>
        <v>0</v>
      </c>
      <c r="BO51" s="80">
        <f t="shared" si="41"/>
        <v>0</v>
      </c>
      <c r="BP51" s="80">
        <f t="shared" si="41"/>
        <v>0</v>
      </c>
      <c r="BQ51" s="80">
        <f t="shared" si="41"/>
        <v>0</v>
      </c>
      <c r="BR51" s="80">
        <f t="shared" si="41"/>
        <v>0</v>
      </c>
      <c r="BS51" s="80">
        <f t="shared" si="41"/>
        <v>0</v>
      </c>
      <c r="BT51" s="80">
        <f t="shared" si="41"/>
        <v>0</v>
      </c>
      <c r="BU51" s="80">
        <f t="shared" si="41"/>
        <v>0</v>
      </c>
      <c r="BV51" s="80">
        <f t="shared" si="41"/>
        <v>295200</v>
      </c>
      <c r="BW51" s="81"/>
      <c r="BX51" s="80">
        <f>+SUBTOTAL(9,BX$39:BX$50)</f>
        <v>115040</v>
      </c>
      <c r="BY51" s="80">
        <f t="shared" ref="BY51:CE51" si="42">+SUBTOTAL(9,BY$39:BY$50)</f>
        <v>93120</v>
      </c>
      <c r="BZ51" s="80">
        <f t="shared" si="42"/>
        <v>87040</v>
      </c>
      <c r="CA51" s="80">
        <f t="shared" si="42"/>
        <v>0</v>
      </c>
      <c r="CB51" s="80">
        <f t="shared" si="42"/>
        <v>0</v>
      </c>
      <c r="CC51" s="80">
        <f t="shared" si="42"/>
        <v>0</v>
      </c>
      <c r="CD51" s="80">
        <f t="shared" si="42"/>
        <v>0</v>
      </c>
      <c r="CE51" s="80">
        <f t="shared" si="42"/>
        <v>295200</v>
      </c>
    </row>
  </sheetData>
  <autoFilter ref="A10:CE62" xr:uid="{26E94636-52C2-442B-AABD-1E283F2984F0}"/>
  <conditionalFormatting sqref="G11:CE22 G38:CE50 G24:CE36">
    <cfRule type="cellIs" dxfId="12" priority="13" operator="equal">
      <formula>0</formula>
    </cfRule>
    <cfRule type="cellIs" dxfId="11" priority="14" operator="greaterThan">
      <formula>0</formula>
    </cfRule>
  </conditionalFormatting>
  <conditionalFormatting sqref="F38">
    <cfRule type="cellIs" dxfId="10" priority="7" operator="equal">
      <formula>0</formula>
    </cfRule>
    <cfRule type="cellIs" dxfId="9" priority="8" operator="greaterThan">
      <formula>0</formula>
    </cfRule>
  </conditionalFormatting>
  <conditionalFormatting sqref="A38:E38">
    <cfRule type="cellIs" dxfId="8" priority="5" operator="equal">
      <formula>0</formula>
    </cfRule>
    <cfRule type="cellIs" dxfId="7" priority="6" operator="greaterThan">
      <formula>0</formula>
    </cfRule>
  </conditionalFormatting>
  <conditionalFormatting sqref="F24">
    <cfRule type="cellIs" dxfId="6" priority="3" operator="equal">
      <formula>0</formula>
    </cfRule>
    <cfRule type="cellIs" dxfId="5" priority="4" operator="greaterThan">
      <formula>0</formula>
    </cfRule>
  </conditionalFormatting>
  <conditionalFormatting sqref="A24:E24">
    <cfRule type="cellIs" dxfId="4" priority="1" operator="equal">
      <formula>0</formula>
    </cfRule>
    <cfRule type="cellIs" dxfId="3" priority="2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4B0B18-57B3-47C2-B795-2B02A7BC5266}">
          <x14:formula1>
            <xm:f>Calendar!$A$1:$A$27</xm:f>
          </x14:formula1>
          <xm:sqref>C23 C51 C37 F5 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EB89-2930-4D1B-9601-B342D19DE482}">
  <sheetPr>
    <pageSetUpPr fitToPage="1"/>
  </sheetPr>
  <dimension ref="A1:P23"/>
  <sheetViews>
    <sheetView zoomScale="175" zoomScaleNormal="175" zoomScaleSheetLayoutView="160" workbookViewId="0">
      <selection activeCell="B4" sqref="B4:C5"/>
    </sheetView>
  </sheetViews>
  <sheetFormatPr defaultRowHeight="12.75" x14ac:dyDescent="0.2"/>
  <cols>
    <col min="1" max="1" width="2.42578125" customWidth="1"/>
    <col min="2" max="2" width="4.28515625" customWidth="1"/>
    <col min="3" max="3" width="22" bestFit="1" customWidth="1"/>
    <col min="4" max="15" width="10.28515625" customWidth="1"/>
    <col min="16" max="16" width="2.42578125" customWidth="1"/>
  </cols>
  <sheetData>
    <row r="1" spans="1:16" x14ac:dyDescent="0.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20.25" x14ac:dyDescent="0.2">
      <c r="A2" s="19"/>
      <c r="B2" s="20" t="s">
        <v>58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35" t="s">
        <v>57</v>
      </c>
      <c r="O2" s="22">
        <v>46108</v>
      </c>
      <c r="P2" s="19"/>
    </row>
    <row r="3" spans="1:16" ht="15" x14ac:dyDescent="0.2">
      <c r="A3" s="19"/>
      <c r="B3" s="1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  <c r="P3" s="19"/>
    </row>
    <row r="4" spans="1:16" ht="25.5" customHeight="1" x14ac:dyDescent="0.2">
      <c r="A4" s="19"/>
      <c r="B4" s="136" t="s">
        <v>34</v>
      </c>
      <c r="C4" s="136"/>
      <c r="D4" s="136" t="s">
        <v>29</v>
      </c>
      <c r="E4" s="136"/>
      <c r="F4" s="136" t="s">
        <v>31</v>
      </c>
      <c r="G4" s="136"/>
      <c r="H4" s="136" t="s">
        <v>30</v>
      </c>
      <c r="I4" s="136"/>
      <c r="J4" s="136" t="s">
        <v>27</v>
      </c>
      <c r="K4" s="136"/>
      <c r="L4" s="136" t="s">
        <v>28</v>
      </c>
      <c r="M4" s="136"/>
      <c r="N4" s="137" t="s">
        <v>33</v>
      </c>
      <c r="O4" s="137"/>
      <c r="P4" s="19"/>
    </row>
    <row r="5" spans="1:16" x14ac:dyDescent="0.2">
      <c r="A5" s="19"/>
      <c r="B5" s="136"/>
      <c r="C5" s="136"/>
      <c r="D5" s="138" t="s">
        <v>25</v>
      </c>
      <c r="E5" s="138" t="s">
        <v>26</v>
      </c>
      <c r="F5" s="138" t="s">
        <v>25</v>
      </c>
      <c r="G5" s="138" t="s">
        <v>26</v>
      </c>
      <c r="H5" s="138" t="s">
        <v>25</v>
      </c>
      <c r="I5" s="138" t="s">
        <v>26</v>
      </c>
      <c r="J5" s="138" t="s">
        <v>25</v>
      </c>
      <c r="K5" s="138" t="s">
        <v>26</v>
      </c>
      <c r="L5" s="138" t="s">
        <v>25</v>
      </c>
      <c r="M5" s="138" t="s">
        <v>26</v>
      </c>
      <c r="N5" s="138" t="s">
        <v>25</v>
      </c>
      <c r="O5" s="138" t="s">
        <v>26</v>
      </c>
      <c r="P5" s="19"/>
    </row>
    <row r="6" spans="1:16" ht="6.75" customHeight="1" x14ac:dyDescent="0.2">
      <c r="A6" s="19"/>
      <c r="B6" s="19"/>
      <c r="C6" s="25"/>
      <c r="D6" s="26"/>
      <c r="E6" s="26"/>
      <c r="F6" s="26"/>
      <c r="G6" s="26"/>
      <c r="H6" s="26"/>
      <c r="I6" s="26"/>
      <c r="J6" s="26"/>
      <c r="K6" s="26"/>
      <c r="L6" s="26"/>
      <c r="M6" s="19"/>
      <c r="N6" s="19"/>
      <c r="O6" s="19"/>
      <c r="P6" s="19"/>
    </row>
    <row r="7" spans="1:16" ht="12.75" customHeight="1" x14ac:dyDescent="0.2">
      <c r="A7" s="19"/>
      <c r="B7" s="123" t="s">
        <v>1</v>
      </c>
      <c r="C7" s="108" t="s">
        <v>60</v>
      </c>
      <c r="D7" s="109" cm="1">
        <f t="array" ref="D7">+SUMPRODUCT((RMP!$A$11:$A$51="Baseline")*(RMP!$D$11:$D$51='Monthly Cost Report'!$C7)*(RMP!$AH$11:$AH$51))</f>
        <v>1024</v>
      </c>
      <c r="E7" s="110" cm="1">
        <f t="array" ref="E7">+SUMPRODUCT((RMP!$A$11:$A$51="Baseline")*(RMP!$D$11:$D$51='Monthly Cost Report'!$C7)*(RMP!$BV$11:$BV$51))</f>
        <v>102400</v>
      </c>
      <c r="F7" s="109" cm="1">
        <f t="array" ref="F7">+SUMPRODUCT(("Actual"=RMP!$A$11:$A$51)*('Monthly Cost Report'!$C7=RMP!$D$11:$D$51)*(RMP!$AJ$10:$AP$10='Monthly Cost Report'!$O$2)*RMP!$AJ$11:$AP$51)</f>
        <v>152</v>
      </c>
      <c r="G7" s="110" cm="1">
        <f t="array" ref="G7">+SUMPRODUCT(("Actual"=RMP!$A$11:$A$51)*('Monthly Cost Report'!$C7=RMP!$D$11:$D$51)*(RMP!$BX$10:$CD$10='Monthly Cost Report'!$O$2)*RMP!$BX$11:$CD$51)</f>
        <v>15200</v>
      </c>
      <c r="H7" s="109" cm="1">
        <f t="array" ref="H7">+SUMPRODUCT(("Actual"=RMP!$A$11:$A$51)*('Monthly Cost Report'!$C7=RMP!$D$11:$D$51)*(RMP!$AJ$10:$AP$10&lt;='Monthly Cost Report'!$O$2)*RMP!$AJ$11:$AP$51)</f>
        <v>504</v>
      </c>
      <c r="I7" s="110" cm="1">
        <f t="array" ref="I7">+SUMPRODUCT(("Actual"=RMP!$A$11:$A$51)*('Monthly Cost Report'!$C7=RMP!$D$11:$D$51)*(RMP!$BX$10:$CD$10&lt;='Monthly Cost Report'!$O$2)*RMP!$BX$11:$CD$51)</f>
        <v>50400</v>
      </c>
      <c r="J7" s="109" cm="1">
        <f t="array" ref="J7">+$H7+(SUMPRODUCT(("Forecast"=RMP!$A$11:$A$51)*('Monthly Cost Report'!$C7=RMP!$D$11:$D$51)*(RMP!$AJ$10:$AP$10&gt;'Monthly Cost Report'!$O$2)*RMP!$AJ$11:$AP$51))</f>
        <v>1024</v>
      </c>
      <c r="K7" s="110" cm="1">
        <f t="array" ref="K7">+$I7+(SUMPRODUCT(("Forecast"=RMP!$A$11:$A$51)*('Monthly Cost Report'!$C7=RMP!$D$11:$D$51)*(RMP!$BX$10:$CD$10&gt;'Monthly Cost Report'!$O$2)*RMP!$BX$11:$CD$51))</f>
        <v>102400</v>
      </c>
      <c r="L7" s="109">
        <f>+J7-H7</f>
        <v>520</v>
      </c>
      <c r="M7" s="110">
        <f>+K7-I7</f>
        <v>52000</v>
      </c>
      <c r="N7" s="109">
        <f>+J7-D7</f>
        <v>0</v>
      </c>
      <c r="O7" s="110">
        <f>+K7-E7</f>
        <v>0</v>
      </c>
      <c r="P7" s="19"/>
    </row>
    <row r="8" spans="1:16" x14ac:dyDescent="0.2">
      <c r="A8" s="19"/>
      <c r="B8" s="124"/>
      <c r="C8" s="111" t="s">
        <v>61</v>
      </c>
      <c r="D8" s="112" cm="1">
        <f t="array" ref="D8">+SUMPRODUCT((RMP!$A$11:$A$51="Baseline")*(RMP!$D$11:$D$51='Monthly Cost Report'!$C8)*(RMP!$AH$11:$AH$51))</f>
        <v>804</v>
      </c>
      <c r="E8" s="113" cm="1">
        <f t="array" ref="E8">+SUMPRODUCT((RMP!$A$11:$A$51="Baseline")*(RMP!$D$11:$D$51='Monthly Cost Report'!$C8)*(RMP!$BV$11:$BV$51))</f>
        <v>40200</v>
      </c>
      <c r="F8" s="112" cm="1">
        <f t="array" ref="F8">+SUMPRODUCT(("Actual"=RMP!$A$11:$A$51)*('Monthly Cost Report'!$C8=RMP!$D$11:$D$51)*(RMP!$AJ$10:$AP$10='Monthly Cost Report'!$O$2)*RMP!$AJ$11:$AP$51)</f>
        <v>152</v>
      </c>
      <c r="G8" s="113" cm="1">
        <f t="array" ref="G8">+SUMPRODUCT(("Actual"=RMP!$A$11:$A$51)*('Monthly Cost Report'!$C8=RMP!$D$11:$D$51)*(RMP!$BX$10:$CD$10='Monthly Cost Report'!$O$2)*RMP!$BX$11:$CD$51)</f>
        <v>7600</v>
      </c>
      <c r="H8" s="112" cm="1">
        <f t="array" ref="H8">+SUMPRODUCT(("Actual"=RMP!$A$11:$A$51)*('Monthly Cost Report'!$C8=RMP!$D$11:$D$51)*(RMP!$AJ$10:$AP$10&lt;='Monthly Cost Report'!$O$2)*RMP!$AJ$11:$AP$51)</f>
        <v>504</v>
      </c>
      <c r="I8" s="113" cm="1">
        <f t="array" ref="I8">+SUMPRODUCT(("Actual"=RMP!$A$11:$A$51)*('Monthly Cost Report'!$C8=RMP!$D$11:$D$51)*(RMP!$BX$10:$CD$10&lt;='Monthly Cost Report'!$O$2)*RMP!$BX$11:$CD$51)</f>
        <v>25200</v>
      </c>
      <c r="J8" s="112" cm="1">
        <f t="array" ref="J8">+$H8+(SUMPRODUCT(("Forecast"=RMP!$A$11:$A$51)*('Monthly Cost Report'!$C8=RMP!$D$11:$D$51)*(RMP!$AJ$10:$AP$10&gt;'Monthly Cost Report'!$O$2)*RMP!$AJ$11:$AP$51))</f>
        <v>804</v>
      </c>
      <c r="K8" s="113" cm="1">
        <f t="array" ref="K8">+$I8+(SUMPRODUCT(("Forecast"=RMP!$A$11:$A$51)*('Monthly Cost Report'!$C8=RMP!$D$11:$D$51)*(RMP!$BX$10:$CD$10&gt;'Monthly Cost Report'!$O$2)*RMP!$BX$11:$CD$51))</f>
        <v>40200</v>
      </c>
      <c r="L8" s="112">
        <f t="shared" ref="L8:L16" si="0">+J8-H8</f>
        <v>300</v>
      </c>
      <c r="M8" s="113">
        <f t="shared" ref="M8:M16" si="1">+K8-I8</f>
        <v>15000</v>
      </c>
      <c r="N8" s="112">
        <f t="shared" ref="N8:N16" si="2">+J8-D8</f>
        <v>0</v>
      </c>
      <c r="O8" s="113">
        <f t="shared" ref="O8:O16" si="3">+K8-E8</f>
        <v>0</v>
      </c>
      <c r="P8" s="19"/>
    </row>
    <row r="9" spans="1:16" x14ac:dyDescent="0.2">
      <c r="A9" s="19"/>
      <c r="B9" s="124"/>
      <c r="C9" s="111" t="s">
        <v>62</v>
      </c>
      <c r="D9" s="112" cm="1">
        <f t="array" ref="D9">+SUMPRODUCT((RMP!$A$11:$A$51="Baseline")*(RMP!$D$11:$D$51='Monthly Cost Report'!$C9)*(RMP!$AH$11:$AH$51))</f>
        <v>344</v>
      </c>
      <c r="E9" s="113" cm="1">
        <f t="array" ref="E9">+SUMPRODUCT((RMP!$A$11:$A$51="Baseline")*(RMP!$D$11:$D$51='Monthly Cost Report'!$C9)*(RMP!$BV$11:$BV$51))</f>
        <v>13760</v>
      </c>
      <c r="F9" s="112" cm="1">
        <f t="array" ref="F9">+SUMPRODUCT(("Actual"=RMP!$A$11:$A$51)*('Monthly Cost Report'!$C9=RMP!$D$11:$D$51)*(RMP!$AJ$10:$AP$10='Monthly Cost Report'!$O$2)*RMP!$AJ$11:$AP$51)</f>
        <v>56</v>
      </c>
      <c r="G9" s="113" cm="1">
        <f t="array" ref="G9">+SUMPRODUCT(("Actual"=RMP!$A$11:$A$51)*('Monthly Cost Report'!$C9=RMP!$D$11:$D$51)*(RMP!$BX$10:$CD$10='Monthly Cost Report'!$O$2)*RMP!$BX$11:$CD$51)</f>
        <v>2240</v>
      </c>
      <c r="H9" s="112" cm="1">
        <f t="array" ref="H9">+SUMPRODUCT(("Actual"=RMP!$A$11:$A$51)*('Monthly Cost Report'!$C9=RMP!$D$11:$D$51)*(RMP!$AJ$10:$AP$10&lt;='Monthly Cost Report'!$O$2)*RMP!$AJ$11:$AP$51)</f>
        <v>192</v>
      </c>
      <c r="I9" s="113" cm="1">
        <f t="array" ref="I9">+SUMPRODUCT(("Actual"=RMP!$A$11:$A$51)*('Monthly Cost Report'!$C9=RMP!$D$11:$D$51)*(RMP!$BX$10:$CD$10&lt;='Monthly Cost Report'!$O$2)*RMP!$BX$11:$CD$51)</f>
        <v>7680</v>
      </c>
      <c r="J9" s="112" cm="1">
        <f t="array" ref="J9">+$H9+(SUMPRODUCT(("Forecast"=RMP!$A$11:$A$51)*('Monthly Cost Report'!$C9=RMP!$D$11:$D$51)*(RMP!$AJ$10:$AP$10&gt;'Monthly Cost Report'!$O$2)*RMP!$AJ$11:$AP$51))</f>
        <v>344</v>
      </c>
      <c r="K9" s="113" cm="1">
        <f t="array" ref="K9">+$I9+(SUMPRODUCT(("Forecast"=RMP!$A$11:$A$51)*('Monthly Cost Report'!$C9=RMP!$D$11:$D$51)*(RMP!$BX$10:$CD$10&gt;'Monthly Cost Report'!$O$2)*RMP!$BX$11:$CD$51))</f>
        <v>13760</v>
      </c>
      <c r="L9" s="112">
        <f t="shared" si="0"/>
        <v>152</v>
      </c>
      <c r="M9" s="113">
        <f t="shared" si="1"/>
        <v>6080</v>
      </c>
      <c r="N9" s="112">
        <f t="shared" si="2"/>
        <v>0</v>
      </c>
      <c r="O9" s="113">
        <f t="shared" si="3"/>
        <v>0</v>
      </c>
      <c r="P9" s="19"/>
    </row>
    <row r="10" spans="1:16" x14ac:dyDescent="0.2">
      <c r="A10" s="19"/>
      <c r="B10" s="124"/>
      <c r="C10" s="111" t="s">
        <v>63</v>
      </c>
      <c r="D10" s="112" cm="1">
        <f t="array" ref="D10">+SUMPRODUCT((RMP!$A$11:$A$51="Baseline")*(RMP!$D$11:$D$51='Monthly Cost Report'!$C10)*(RMP!$AH$11:$AH$51))</f>
        <v>712</v>
      </c>
      <c r="E10" s="113" cm="1">
        <f t="array" ref="E10">+SUMPRODUCT((RMP!$A$11:$A$51="Baseline")*(RMP!$D$11:$D$51='Monthly Cost Report'!$C10)*(RMP!$BV$11:$BV$51))</f>
        <v>35600</v>
      </c>
      <c r="F10" s="112" cm="1">
        <f t="array" ref="F10">+SUMPRODUCT(("Actual"=RMP!$A$11:$A$51)*('Monthly Cost Report'!$C10=RMP!$D$11:$D$51)*(RMP!$AJ$10:$AP$10='Monthly Cost Report'!$O$2)*RMP!$AJ$11:$AP$51)</f>
        <v>120</v>
      </c>
      <c r="G10" s="113" cm="1">
        <f t="array" ref="G10">+SUMPRODUCT(("Actual"=RMP!$A$11:$A$51)*('Monthly Cost Report'!$C10=RMP!$D$11:$D$51)*(RMP!$BX$10:$CD$10='Monthly Cost Report'!$O$2)*RMP!$BX$11:$CD$51)</f>
        <v>6000</v>
      </c>
      <c r="H10" s="112" cm="1">
        <f t="array" ref="H10">+SUMPRODUCT(("Actual"=RMP!$A$11:$A$51)*('Monthly Cost Report'!$C10=RMP!$D$11:$D$51)*(RMP!$AJ$10:$AP$10&lt;='Monthly Cost Report'!$O$2)*RMP!$AJ$11:$AP$51)</f>
        <v>400</v>
      </c>
      <c r="I10" s="113" cm="1">
        <f t="array" ref="I10">+SUMPRODUCT(("Actual"=RMP!$A$11:$A$51)*('Monthly Cost Report'!$C10=RMP!$D$11:$D$51)*(RMP!$BX$10:$CD$10&lt;='Monthly Cost Report'!$O$2)*RMP!$BX$11:$CD$51)</f>
        <v>20000</v>
      </c>
      <c r="J10" s="112" cm="1">
        <f t="array" ref="J10">+$H10+(SUMPRODUCT(("Forecast"=RMP!$A$11:$A$51)*('Monthly Cost Report'!$C10=RMP!$D$11:$D$51)*(RMP!$AJ$10:$AP$10&gt;'Monthly Cost Report'!$O$2)*RMP!$AJ$11:$AP$51))</f>
        <v>744</v>
      </c>
      <c r="K10" s="113" cm="1">
        <f t="array" ref="K10">+$I10+(SUMPRODUCT(("Forecast"=RMP!$A$11:$A$51)*('Monthly Cost Report'!$C10=RMP!$D$11:$D$51)*(RMP!$BX$10:$CD$10&gt;'Monthly Cost Report'!$O$2)*RMP!$BX$11:$CD$51))</f>
        <v>37200</v>
      </c>
      <c r="L10" s="112">
        <f>+J10-H10</f>
        <v>344</v>
      </c>
      <c r="M10" s="113">
        <f t="shared" si="1"/>
        <v>17200</v>
      </c>
      <c r="N10" s="112">
        <f t="shared" si="2"/>
        <v>32</v>
      </c>
      <c r="O10" s="113">
        <f t="shared" si="3"/>
        <v>1600</v>
      </c>
      <c r="P10" s="19"/>
    </row>
    <row r="11" spans="1:16" x14ac:dyDescent="0.2">
      <c r="A11" s="19"/>
      <c r="B11" s="124"/>
      <c r="C11" s="111" t="s">
        <v>64</v>
      </c>
      <c r="D11" s="112" cm="1">
        <f t="array" ref="D11">+SUMPRODUCT((RMP!$A$11:$A$51="Baseline")*(RMP!$D$11:$D$51='Monthly Cost Report'!$C11)*(RMP!$AH$11:$AH$51))</f>
        <v>712</v>
      </c>
      <c r="E11" s="113" cm="1">
        <f t="array" ref="E11">+SUMPRODUCT((RMP!$A$11:$A$51="Baseline")*(RMP!$D$11:$D$51='Monthly Cost Report'!$C11)*(RMP!$BV$11:$BV$51))</f>
        <v>71200</v>
      </c>
      <c r="F11" s="112" cm="1">
        <f t="array" ref="F11">+SUMPRODUCT(("Actual"=RMP!$A$11:$A$51)*('Monthly Cost Report'!$C11=RMP!$D$11:$D$51)*(RMP!$AJ$10:$AP$10='Monthly Cost Report'!$O$2)*RMP!$AJ$11:$AP$51)</f>
        <v>120</v>
      </c>
      <c r="G11" s="113" cm="1">
        <f t="array" ref="G11">+SUMPRODUCT(("Actual"=RMP!$A$11:$A$51)*('Monthly Cost Report'!$C11=RMP!$D$11:$D$51)*(RMP!$BX$10:$CD$10='Monthly Cost Report'!$O$2)*RMP!$BX$11:$CD$51)</f>
        <v>12000</v>
      </c>
      <c r="H11" s="112" cm="1">
        <f t="array" ref="H11">+SUMPRODUCT(("Actual"=RMP!$A$11:$A$51)*('Monthly Cost Report'!$C11=RMP!$D$11:$D$51)*(RMP!$AJ$10:$AP$10&lt;='Monthly Cost Report'!$O$2)*RMP!$AJ$11:$AP$51)</f>
        <v>400</v>
      </c>
      <c r="I11" s="113" cm="1">
        <f t="array" ref="I11">+SUMPRODUCT(("Actual"=RMP!$A$11:$A$51)*('Monthly Cost Report'!$C11=RMP!$D$11:$D$51)*(RMP!$BX$10:$CD$10&lt;='Monthly Cost Report'!$O$2)*RMP!$BX$11:$CD$51)</f>
        <v>40000</v>
      </c>
      <c r="J11" s="112" cm="1">
        <f t="array" ref="J11">+$H11+(SUMPRODUCT(("Forecast"=RMP!$A$11:$A$51)*('Monthly Cost Report'!$C11=RMP!$D$11:$D$51)*(RMP!$AJ$10:$AP$10&gt;'Monthly Cost Report'!$O$2)*RMP!$AJ$11:$AP$51))</f>
        <v>712</v>
      </c>
      <c r="K11" s="113" cm="1">
        <f t="array" ref="K11">+$I11+(SUMPRODUCT(("Forecast"=RMP!$A$11:$A$51)*('Monthly Cost Report'!$C11=RMP!$D$11:$D$51)*(RMP!$BX$10:$CD$10&gt;'Monthly Cost Report'!$O$2)*RMP!$BX$11:$CD$51))</f>
        <v>71200</v>
      </c>
      <c r="L11" s="112">
        <f t="shared" si="0"/>
        <v>312</v>
      </c>
      <c r="M11" s="113">
        <f t="shared" si="1"/>
        <v>31200</v>
      </c>
      <c r="N11" s="112">
        <f t="shared" si="2"/>
        <v>0</v>
      </c>
      <c r="O11" s="113">
        <f t="shared" si="3"/>
        <v>0</v>
      </c>
      <c r="P11" s="19"/>
    </row>
    <row r="12" spans="1:16" x14ac:dyDescent="0.2">
      <c r="A12" s="19"/>
      <c r="B12" s="124"/>
      <c r="C12" s="114" t="s">
        <v>65</v>
      </c>
      <c r="D12" s="115" cm="1">
        <f t="array" ref="D12">+SUMPRODUCT((RMP!$A$11:$A$51="Baseline")*(RMP!$D$11:$D$51='Monthly Cost Report'!$C12)*(RMP!$AH$11:$AH$51))</f>
        <v>360</v>
      </c>
      <c r="E12" s="116" cm="1">
        <f t="array" ref="E12">+SUMPRODUCT((RMP!$A$11:$A$51="Baseline")*(RMP!$D$11:$D$51='Monthly Cost Report'!$C12)*(RMP!$BV$11:$BV$51))</f>
        <v>14400</v>
      </c>
      <c r="F12" s="115" cm="1">
        <f t="array" ref="F12">+SUMPRODUCT(("Actual"=RMP!$A$11:$A$51)*('Monthly Cost Report'!$C12=RMP!$D$11:$D$51)*(RMP!$AJ$10:$AP$10='Monthly Cost Report'!$O$2)*RMP!$AJ$11:$AP$51)</f>
        <v>56</v>
      </c>
      <c r="G12" s="116" cm="1">
        <f t="array" ref="G12">+SUMPRODUCT(("Actual"=RMP!$A$11:$A$51)*('Monthly Cost Report'!$C12=RMP!$D$11:$D$51)*(RMP!$BX$10:$CD$10='Monthly Cost Report'!$O$2)*RMP!$BX$11:$CD$51)</f>
        <v>2240</v>
      </c>
      <c r="H12" s="115" cm="1">
        <f t="array" ref="H12">+SUMPRODUCT(("Actual"=RMP!$A$11:$A$51)*('Monthly Cost Report'!$C12=RMP!$D$11:$D$51)*(RMP!$AJ$10:$AP$10&lt;='Monthly Cost Report'!$O$2)*RMP!$AJ$11:$AP$51)</f>
        <v>200</v>
      </c>
      <c r="I12" s="116" cm="1">
        <f t="array" ref="I12">+SUMPRODUCT(("Actual"=RMP!$A$11:$A$51)*('Monthly Cost Report'!$C12=RMP!$D$11:$D$51)*(RMP!$BX$10:$CD$10&lt;='Monthly Cost Report'!$O$2)*RMP!$BX$11:$CD$51)</f>
        <v>8000</v>
      </c>
      <c r="J12" s="115" cm="1">
        <f t="array" ref="J12">+$H12+(SUMPRODUCT(("Forecast"=RMP!$A$11:$A$51)*('Monthly Cost Report'!$C12=RMP!$D$11:$D$51)*(RMP!$AJ$10:$AP$10&gt;'Monthly Cost Report'!$O$2)*RMP!$AJ$11:$AP$51))</f>
        <v>368</v>
      </c>
      <c r="K12" s="116" cm="1">
        <f t="array" ref="K12">+$I12+(SUMPRODUCT(("Forecast"=RMP!$A$11:$A$51)*('Monthly Cost Report'!$C12=RMP!$D$11:$D$51)*(RMP!$BX$10:$CD$10&gt;'Monthly Cost Report'!$O$2)*RMP!$BX$11:$CD$51))</f>
        <v>14720</v>
      </c>
      <c r="L12" s="115">
        <f t="shared" si="0"/>
        <v>168</v>
      </c>
      <c r="M12" s="116">
        <f t="shared" si="1"/>
        <v>6720</v>
      </c>
      <c r="N12" s="115">
        <f t="shared" si="2"/>
        <v>8</v>
      </c>
      <c r="O12" s="116">
        <f t="shared" si="3"/>
        <v>320</v>
      </c>
      <c r="P12" s="19"/>
    </row>
    <row r="13" spans="1:16" x14ac:dyDescent="0.2">
      <c r="A13" s="19"/>
      <c r="B13" s="124"/>
      <c r="C13" s="114" t="s">
        <v>49</v>
      </c>
      <c r="D13" s="115" cm="1">
        <f t="array" ref="D13">+SUMPRODUCT((RMP!$A$11:$A$51="Baseline")*(RMP!$D$11:$D$51='Monthly Cost Report'!$C13)*(RMP!$AH$11:$AH$51))</f>
        <v>360</v>
      </c>
      <c r="E13" s="116" cm="1">
        <f t="array" ref="E13">+SUMPRODUCT((RMP!$A$11:$A$51="Baseline")*(RMP!$D$11:$D$51='Monthly Cost Report'!$C13)*(RMP!$BV$11:$BV$51))</f>
        <v>18000</v>
      </c>
      <c r="F13" s="115" cm="1">
        <f t="array" ref="F13">+SUMPRODUCT(("Actual"=RMP!$A$11:$A$51)*('Monthly Cost Report'!$C13=RMP!$D$11:$D$51)*(RMP!$AJ$10:$AP$10='Monthly Cost Report'!$O$2)*RMP!$AJ$11:$AP$51)</f>
        <v>48</v>
      </c>
      <c r="G13" s="116" cm="1">
        <f t="array" ref="G13">+SUMPRODUCT(("Actual"=RMP!$A$11:$A$51)*('Monthly Cost Report'!$C13=RMP!$D$11:$D$51)*(RMP!$BX$10:$CD$10='Monthly Cost Report'!$O$2)*RMP!$BX$11:$CD$51)</f>
        <v>2400</v>
      </c>
      <c r="H13" s="115" cm="1">
        <f t="array" ref="H13">+SUMPRODUCT(("Actual"=RMP!$A$11:$A$51)*('Monthly Cost Report'!$C13=RMP!$D$11:$D$51)*(RMP!$AJ$10:$AP$10&lt;='Monthly Cost Report'!$O$2)*RMP!$AJ$11:$AP$51)</f>
        <v>192</v>
      </c>
      <c r="I13" s="116" cm="1">
        <f t="array" ref="I13">+SUMPRODUCT(("Actual"=RMP!$A$11:$A$51)*('Monthly Cost Report'!$C13=RMP!$D$11:$D$51)*(RMP!$BX$10:$CD$10&lt;='Monthly Cost Report'!$O$2)*RMP!$BX$11:$CD$51)</f>
        <v>9600</v>
      </c>
      <c r="J13" s="115" cm="1">
        <f t="array" ref="J13">+$H13+(SUMPRODUCT(("Forecast"=RMP!$A$11:$A$51)*('Monthly Cost Report'!$C13=RMP!$D$11:$D$51)*(RMP!$AJ$10:$AP$10&gt;'Monthly Cost Report'!$O$2)*RMP!$AJ$11:$AP$51))</f>
        <v>360</v>
      </c>
      <c r="K13" s="116" cm="1">
        <f t="array" ref="K13">+$I13+(SUMPRODUCT(("Forecast"=RMP!$A$11:$A$51)*('Monthly Cost Report'!$C13=RMP!$D$11:$D$51)*(RMP!$BX$10:$CD$10&gt;'Monthly Cost Report'!$O$2)*RMP!$BX$11:$CD$51))</f>
        <v>18000</v>
      </c>
      <c r="L13" s="115">
        <f t="shared" si="0"/>
        <v>168</v>
      </c>
      <c r="M13" s="116">
        <f t="shared" si="1"/>
        <v>8400</v>
      </c>
      <c r="N13" s="115">
        <f t="shared" si="2"/>
        <v>0</v>
      </c>
      <c r="O13" s="116">
        <f t="shared" si="3"/>
        <v>0</v>
      </c>
      <c r="P13" s="19"/>
    </row>
    <row r="14" spans="1:16" x14ac:dyDescent="0.2">
      <c r="A14" s="19"/>
      <c r="B14" s="124"/>
      <c r="C14" s="114" t="s">
        <v>10</v>
      </c>
      <c r="D14" s="115" cm="1">
        <f t="array" ref="D14">+SUMPRODUCT((RMP!$A$11:$A$51="Baseline")*(RMP!$D$11:$D$51='Monthly Cost Report'!$C14)*(RMP!$AH$11:$AH$51))</f>
        <v>1160</v>
      </c>
      <c r="E14" s="116" cm="1">
        <f t="array" ref="E14">+SUMPRODUCT((RMP!$A$11:$A$51="Baseline")*(RMP!$D$11:$D$51='Monthly Cost Report'!$C14)*(RMP!$BV$11:$BV$51))</f>
        <v>58000</v>
      </c>
      <c r="F14" s="115" cm="1">
        <f t="array" ref="F14">+SUMPRODUCT(("Actual"=RMP!$A$11:$A$51)*('Monthly Cost Report'!$C14=RMP!$D$11:$D$51)*(RMP!$AJ$10:$AP$10='Monthly Cost Report'!$O$2)*RMP!$AJ$11:$AP$51)</f>
        <v>152</v>
      </c>
      <c r="G14" s="116" cm="1">
        <f t="array" ref="G14">+SUMPRODUCT(("Actual"=RMP!$A$11:$A$51)*('Monthly Cost Report'!$C14=RMP!$D$11:$D$51)*(RMP!$BX$10:$CD$10='Monthly Cost Report'!$O$2)*RMP!$BX$11:$CD$51)</f>
        <v>7600</v>
      </c>
      <c r="H14" s="115" cm="1">
        <f t="array" ref="H14">+SUMPRODUCT(("Actual"=RMP!$A$11:$A$51)*('Monthly Cost Report'!$C14=RMP!$D$11:$D$51)*(RMP!$AJ$10:$AP$10&lt;='Monthly Cost Report'!$O$2)*RMP!$AJ$11:$AP$51)</f>
        <v>576</v>
      </c>
      <c r="I14" s="116" cm="1">
        <f t="array" ref="I14">+SUMPRODUCT(("Actual"=RMP!$A$11:$A$51)*('Monthly Cost Report'!$C14=RMP!$D$11:$D$51)*(RMP!$BX$10:$CD$10&lt;='Monthly Cost Report'!$O$2)*RMP!$BX$11:$CD$51)</f>
        <v>28800</v>
      </c>
      <c r="J14" s="115" cm="1">
        <f t="array" ref="J14">+$H14+(SUMPRODUCT(("Forecast"=RMP!$A$11:$A$51)*('Monthly Cost Report'!$C14=RMP!$D$11:$D$51)*(RMP!$AJ$10:$AP$10&gt;'Monthly Cost Report'!$O$2)*RMP!$AJ$11:$AP$51))</f>
        <v>1104</v>
      </c>
      <c r="K14" s="116" cm="1">
        <f t="array" ref="K14">+$I14+(SUMPRODUCT(("Forecast"=RMP!$A$11:$A$51)*('Monthly Cost Report'!$C14=RMP!$D$11:$D$51)*(RMP!$BX$10:$CD$10&gt;'Monthly Cost Report'!$O$2)*RMP!$BX$11:$CD$51))</f>
        <v>55200</v>
      </c>
      <c r="L14" s="115">
        <f t="shared" si="0"/>
        <v>528</v>
      </c>
      <c r="M14" s="116">
        <f t="shared" si="1"/>
        <v>26400</v>
      </c>
      <c r="N14" s="115">
        <f t="shared" si="2"/>
        <v>-56</v>
      </c>
      <c r="O14" s="116">
        <f t="shared" si="3"/>
        <v>-2800</v>
      </c>
      <c r="P14" s="19"/>
    </row>
    <row r="15" spans="1:16" x14ac:dyDescent="0.2">
      <c r="A15" s="19"/>
      <c r="B15" s="124"/>
      <c r="C15" s="114" t="s">
        <v>16</v>
      </c>
      <c r="D15" s="115" cm="1">
        <f t="array" ref="D15">+SUMPRODUCT((RMP!$A$11:$A$51="Baseline")*(RMP!$D$11:$D$51='Monthly Cost Report'!$C15)*(RMP!$AH$11:$AH$51))</f>
        <v>1784</v>
      </c>
      <c r="E15" s="116" cm="1">
        <f t="array" ref="E15">+SUMPRODUCT((RMP!$A$11:$A$51="Baseline")*(RMP!$D$11:$D$51='Monthly Cost Report'!$C15)*(RMP!$BV$11:$BV$51))</f>
        <v>106720</v>
      </c>
      <c r="F15" s="115" cm="1">
        <f t="array" ref="F15">+SUMPRODUCT(("Actual"=RMP!$A$11:$A$51)*('Monthly Cost Report'!$C15=RMP!$D$11:$D$51)*(RMP!$AJ$10:$AP$10='Monthly Cost Report'!$O$2)*RMP!$AJ$11:$AP$51)</f>
        <v>272</v>
      </c>
      <c r="G15" s="116" cm="1">
        <f t="array" ref="G15">+SUMPRODUCT(("Actual"=RMP!$A$11:$A$51)*('Monthly Cost Report'!$C15=RMP!$D$11:$D$51)*(RMP!$BX$10:$CD$10='Monthly Cost Report'!$O$2)*RMP!$BX$11:$CD$51)</f>
        <v>16560</v>
      </c>
      <c r="H15" s="115" cm="1">
        <f t="array" ref="H15">+SUMPRODUCT(("Actual"=RMP!$A$11:$A$51)*('Monthly Cost Report'!$C15=RMP!$D$11:$D$51)*(RMP!$AJ$10:$AP$10&lt;='Monthly Cost Report'!$O$2)*RMP!$AJ$11:$AP$51)</f>
        <v>904</v>
      </c>
      <c r="I15" s="116" cm="1">
        <f t="array" ref="I15">+SUMPRODUCT(("Actual"=RMP!$A$11:$A$51)*('Monthly Cost Report'!$C15=RMP!$D$11:$D$51)*(RMP!$BX$10:$CD$10&lt;='Monthly Cost Report'!$O$2)*RMP!$BX$11:$CD$51)</f>
        <v>55120</v>
      </c>
      <c r="J15" s="115" cm="1">
        <f t="array" ref="J15">+$H15+(SUMPRODUCT(("Forecast"=RMP!$A$11:$A$51)*('Monthly Cost Report'!$C15=RMP!$D$11:$D$51)*(RMP!$AJ$10:$AP$10&gt;'Monthly Cost Report'!$O$2)*RMP!$AJ$11:$AP$51))</f>
        <v>1744</v>
      </c>
      <c r="K15" s="116" cm="1">
        <f t="array" ref="K15">+$I15+(SUMPRODUCT(("Forecast"=RMP!$A$11:$A$51)*('Monthly Cost Report'!$C15=RMP!$D$11:$D$51)*(RMP!$BX$10:$CD$10&gt;'Monthly Cost Report'!$O$2)*RMP!$BX$11:$CD$51))</f>
        <v>102720</v>
      </c>
      <c r="L15" s="115">
        <f t="shared" si="0"/>
        <v>840</v>
      </c>
      <c r="M15" s="116">
        <f t="shared" si="1"/>
        <v>47600</v>
      </c>
      <c r="N15" s="115">
        <f t="shared" si="2"/>
        <v>-40</v>
      </c>
      <c r="O15" s="116">
        <f t="shared" si="3"/>
        <v>-4000</v>
      </c>
      <c r="P15" s="19"/>
    </row>
    <row r="16" spans="1:16" x14ac:dyDescent="0.2">
      <c r="A16" s="19"/>
      <c r="B16" s="124"/>
      <c r="C16" s="117" t="s">
        <v>17</v>
      </c>
      <c r="D16" s="118" cm="1">
        <f t="array" ref="D16">+SUMPRODUCT((RMP!$A$11:$A$51="Baseline")*(RMP!$D$11:$D$51='Monthly Cost Report'!$C16)*(RMP!$AH$11:$AH$51))</f>
        <v>1024</v>
      </c>
      <c r="E16" s="119" cm="1">
        <f t="array" ref="E16">+SUMPRODUCT((RMP!$A$11:$A$51="Baseline")*(RMP!$D$11:$D$51='Monthly Cost Report'!$C16)*(RMP!$BV$11:$BV$51))</f>
        <v>102400</v>
      </c>
      <c r="F16" s="118" cm="1">
        <f t="array" ref="F16">+SUMPRODUCT(("Actual"=RMP!$A$11:$A$51)*('Monthly Cost Report'!$C16=RMP!$D$11:$D$51)*(RMP!$AJ$10:$AP$10='Monthly Cost Report'!$O$2)*RMP!$AJ$11:$AP$51)</f>
        <v>152</v>
      </c>
      <c r="G16" s="119" cm="1">
        <f t="array" ref="G16">+SUMPRODUCT(("Actual"=RMP!$A$11:$A$51)*('Monthly Cost Report'!$C16=RMP!$D$11:$D$51)*(RMP!$BX$10:$CD$10='Monthly Cost Report'!$O$2)*RMP!$BX$11:$CD$51)</f>
        <v>15200</v>
      </c>
      <c r="H16" s="118" cm="1">
        <f t="array" ref="H16">+SUMPRODUCT(("Actual"=RMP!$A$11:$A$51)*('Monthly Cost Report'!$C16=RMP!$D$11:$D$51)*(RMP!$AJ$10:$AP$10&lt;='Monthly Cost Report'!$O$2)*RMP!$AJ$11:$AP$51)</f>
        <v>504</v>
      </c>
      <c r="I16" s="119" cm="1">
        <f t="array" ref="I16">+SUMPRODUCT(("Actual"=RMP!$A$11:$A$51)*('Monthly Cost Report'!$C16=RMP!$D$11:$D$51)*(RMP!$BX$10:$CD$10&lt;='Monthly Cost Report'!$O$2)*RMP!$BX$11:$CD$51)</f>
        <v>50400</v>
      </c>
      <c r="J16" s="118" cm="1">
        <f t="array" ref="J16">+$H16+(SUMPRODUCT(("Forecast"=RMP!$A$11:$A$51)*('Monthly Cost Report'!$C16=RMP!$D$11:$D$51)*(RMP!$AJ$10:$AP$10&gt;'Monthly Cost Report'!$O$2)*RMP!$AJ$11:$AP$51))</f>
        <v>1024</v>
      </c>
      <c r="K16" s="119" cm="1">
        <f t="array" ref="K16">+$I16+(SUMPRODUCT(("Forecast"=RMP!$A$11:$A$51)*('Monthly Cost Report'!$C16=RMP!$D$11:$D$51)*(RMP!$BX$10:$CD$10&gt;'Monthly Cost Report'!$O$2)*RMP!$BX$11:$CD$51))</f>
        <v>102400</v>
      </c>
      <c r="L16" s="118">
        <f t="shared" si="0"/>
        <v>520</v>
      </c>
      <c r="M16" s="119">
        <f t="shared" si="1"/>
        <v>52000</v>
      </c>
      <c r="N16" s="118">
        <f t="shared" si="2"/>
        <v>0</v>
      </c>
      <c r="O16" s="119">
        <f t="shared" si="3"/>
        <v>0</v>
      </c>
      <c r="P16" s="19"/>
    </row>
    <row r="17" spans="1:16" x14ac:dyDescent="0.2">
      <c r="A17" s="19"/>
      <c r="B17" s="18"/>
      <c r="C17" s="120" t="s">
        <v>32</v>
      </c>
      <c r="D17" s="121">
        <f>+SUBTOTAL(9,D7:D16)</f>
        <v>8284</v>
      </c>
      <c r="E17" s="122">
        <f t="shared" ref="E17:K17" si="4">+SUBTOTAL(9,E7:E16)</f>
        <v>562680</v>
      </c>
      <c r="F17" s="121">
        <f t="shared" si="4"/>
        <v>1280</v>
      </c>
      <c r="G17" s="122">
        <f t="shared" si="4"/>
        <v>87040</v>
      </c>
      <c r="H17" s="121">
        <f t="shared" si="4"/>
        <v>4376</v>
      </c>
      <c r="I17" s="122">
        <f t="shared" si="4"/>
        <v>295200</v>
      </c>
      <c r="J17" s="121">
        <f t="shared" si="4"/>
        <v>8228</v>
      </c>
      <c r="K17" s="122">
        <f t="shared" si="4"/>
        <v>557800</v>
      </c>
      <c r="L17" s="121">
        <f t="shared" ref="L17:M17" si="5">+SUBTOTAL(9,L7:L16)</f>
        <v>3852</v>
      </c>
      <c r="M17" s="122">
        <f t="shared" si="5"/>
        <v>262600</v>
      </c>
      <c r="N17" s="121">
        <f t="shared" ref="N17" si="6">+SUBTOTAL(9,N7:N16)</f>
        <v>-56</v>
      </c>
      <c r="O17" s="122">
        <f t="shared" ref="O17" si="7">+SUBTOTAL(9,O7:O16)</f>
        <v>-4880</v>
      </c>
      <c r="P17" s="19"/>
    </row>
    <row r="18" spans="1:16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x14ac:dyDescent="0.2">
      <c r="A19" s="19"/>
      <c r="B19" s="27" t="s">
        <v>56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/>
      <c r="P19" s="19"/>
    </row>
    <row r="20" spans="1:16" x14ac:dyDescent="0.2">
      <c r="A20" s="19"/>
      <c r="B20" s="30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31"/>
      <c r="P20" s="19"/>
    </row>
    <row r="21" spans="1:16" x14ac:dyDescent="0.2">
      <c r="A21" s="19"/>
      <c r="B21" s="30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31"/>
      <c r="P21" s="19"/>
    </row>
    <row r="22" spans="1:16" x14ac:dyDescent="0.2">
      <c r="A22" s="19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/>
      <c r="P22" s="19"/>
    </row>
    <row r="23" spans="1:16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</sheetData>
  <mergeCells count="8">
    <mergeCell ref="B7:B16"/>
    <mergeCell ref="J4:K4"/>
    <mergeCell ref="L4:M4"/>
    <mergeCell ref="N4:O4"/>
    <mergeCell ref="B4:C5"/>
    <mergeCell ref="D4:E4"/>
    <mergeCell ref="F4:G4"/>
    <mergeCell ref="H4:I4"/>
  </mergeCells>
  <pageMargins left="0.25" right="0.25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28E317-D8EE-4229-A062-F55617AA1036}">
          <x14:formula1>
            <xm:f>Calendar!$C$1:$C$7</xm:f>
          </x14:formula1>
          <xm:sqref>O2:O3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ACF7-90EF-4B5F-BEC1-96F28D123B40}">
  <dimension ref="A1:J18"/>
  <sheetViews>
    <sheetView zoomScale="145" zoomScaleNormal="145" workbookViewId="0">
      <selection activeCell="B4" sqref="B4"/>
    </sheetView>
  </sheetViews>
  <sheetFormatPr defaultRowHeight="12.75" x14ac:dyDescent="0.2"/>
  <cols>
    <col min="1" max="1" width="2.7109375" customWidth="1"/>
    <col min="2" max="2" width="21.5703125" bestFit="1" customWidth="1"/>
    <col min="3" max="3" width="27.5703125" bestFit="1" customWidth="1"/>
    <col min="4" max="4" width="24.5703125" bestFit="1" customWidth="1"/>
    <col min="5" max="5" width="16.28515625" bestFit="1" customWidth="1"/>
    <col min="6" max="8" width="10.7109375" customWidth="1"/>
    <col min="9" max="9" width="39" customWidth="1"/>
    <col min="10" max="10" width="2.7109375" customWidth="1"/>
  </cols>
  <sheetData>
    <row r="1" spans="1:10" x14ac:dyDescent="0.2">
      <c r="A1" s="19"/>
      <c r="B1" s="19"/>
      <c r="C1" s="19"/>
      <c r="D1" s="19"/>
      <c r="E1" s="19"/>
      <c r="F1" s="19"/>
      <c r="G1" s="19"/>
      <c r="H1" s="19"/>
      <c r="I1" s="19"/>
      <c r="J1" s="19"/>
    </row>
    <row r="2" spans="1:10" ht="27" x14ac:dyDescent="0.2">
      <c r="A2" s="19"/>
      <c r="B2" s="146" t="s">
        <v>81</v>
      </c>
      <c r="C2" s="147">
        <v>46108</v>
      </c>
      <c r="D2" s="140" t="s">
        <v>80</v>
      </c>
      <c r="E2" s="141"/>
      <c r="F2" s="142"/>
      <c r="G2" s="143"/>
      <c r="H2" s="144"/>
      <c r="I2" s="145"/>
      <c r="J2" s="19"/>
    </row>
    <row r="3" spans="1:10" ht="4.5" customHeight="1" x14ac:dyDescent="0.2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ht="15" x14ac:dyDescent="0.2">
      <c r="A4" s="19"/>
      <c r="B4" s="139" t="s">
        <v>69</v>
      </c>
      <c r="C4" s="139" t="s">
        <v>0</v>
      </c>
      <c r="D4" s="139" t="s">
        <v>1</v>
      </c>
      <c r="E4" s="139" t="s">
        <v>15</v>
      </c>
      <c r="F4" s="139" t="s">
        <v>5</v>
      </c>
      <c r="G4" s="139" t="s">
        <v>18</v>
      </c>
      <c r="H4" s="139" t="s">
        <v>59</v>
      </c>
      <c r="I4" s="139" t="s">
        <v>2</v>
      </c>
      <c r="J4" s="19"/>
    </row>
    <row r="5" spans="1:10" ht="14.25" x14ac:dyDescent="0.2">
      <c r="A5" s="19"/>
      <c r="B5" s="97" t="s">
        <v>37</v>
      </c>
      <c r="C5" s="98" t="s">
        <v>7</v>
      </c>
      <c r="D5" s="98" t="s">
        <v>60</v>
      </c>
      <c r="E5" s="98" t="s">
        <v>6</v>
      </c>
      <c r="F5" s="99" cm="1">
        <f t="array" ref="F5">+SUMPRODUCT((RMP!$A$25:$A$62='Employee Hours Variance'!$F$4)*(RMP!$B$25:$B$62='Employee Hours Variance'!$B5)*(RMP!$G$10:$AG$10='Employee Hours Variance'!$C$2)*(RMP!$G$25:$AG$62))</f>
        <v>40</v>
      </c>
      <c r="G5" s="99" cm="1">
        <f t="array" ref="G5">+SUMPRODUCT((RMP!$A$25:$A$62=$G$4)*(RMP!$B$25:$B$62='Employee Hours Variance'!$B5)*(RMP!$G$10:$AG$10='Employee Hours Variance'!$C$2)*(RMP!$G$25:$AG$62))</f>
        <v>40</v>
      </c>
      <c r="H5" s="99">
        <f>+F5-G5</f>
        <v>0</v>
      </c>
      <c r="I5" s="36"/>
      <c r="J5" s="19"/>
    </row>
    <row r="6" spans="1:10" ht="14.25" x14ac:dyDescent="0.2">
      <c r="A6" s="19"/>
      <c r="B6" s="100" t="s">
        <v>38</v>
      </c>
      <c r="C6" s="101" t="s">
        <v>8</v>
      </c>
      <c r="D6" s="101" t="s">
        <v>61</v>
      </c>
      <c r="E6" s="101" t="s">
        <v>6</v>
      </c>
      <c r="F6" s="102" cm="1">
        <f t="array" ref="F6">+SUMPRODUCT((RMP!$A$25:$A$62='Employee Hours Variance'!$F$4)*(RMP!$B$25:$B$62='Employee Hours Variance'!$B6)*(RMP!$G$10:$AG$10='Employee Hours Variance'!$C$2)*(RMP!$G$25:$AG$62))</f>
        <v>40</v>
      </c>
      <c r="G6" s="102" cm="1">
        <f t="array" ref="G6">+SUMPRODUCT((RMP!$A$25:$A$62=$G$4)*(RMP!$B$25:$B$62='Employee Hours Variance'!$B6)*(RMP!$G$10:$AG$10='Employee Hours Variance'!$C$2)*(RMP!$G$25:$AG$62))</f>
        <v>40</v>
      </c>
      <c r="H6" s="102">
        <f t="shared" ref="H6:H16" si="0">+F6-G6</f>
        <v>0</v>
      </c>
      <c r="I6" s="37"/>
      <c r="J6" s="19"/>
    </row>
    <row r="7" spans="1:10" x14ac:dyDescent="0.2">
      <c r="A7" s="19"/>
      <c r="B7" s="100" t="s">
        <v>39</v>
      </c>
      <c r="C7" s="101" t="s">
        <v>9</v>
      </c>
      <c r="D7" s="101" t="s">
        <v>62</v>
      </c>
      <c r="E7" s="101" t="s">
        <v>6</v>
      </c>
      <c r="F7" s="102" cm="1">
        <f t="array" ref="F7">+SUMPRODUCT((RMP!$A$25:$A$62='Employee Hours Variance'!$F$4)*(RMP!$B$25:$B$62='Employee Hours Variance'!$B7)*(RMP!$G$10:$AG$10='Employee Hours Variance'!$C$2)*(RMP!$G$25:$AG$62))</f>
        <v>16</v>
      </c>
      <c r="G7" s="102" cm="1">
        <f t="array" ref="G7">+SUMPRODUCT((RMP!$A$25:$A$62=$G$4)*(RMP!$B$25:$B$62='Employee Hours Variance'!$B7)*(RMP!$G$10:$AG$10='Employee Hours Variance'!$C$2)*(RMP!$G$25:$AG$62))</f>
        <v>16</v>
      </c>
      <c r="H7" s="102">
        <f t="shared" si="0"/>
        <v>0</v>
      </c>
      <c r="I7" s="42"/>
      <c r="J7" s="19"/>
    </row>
    <row r="8" spans="1:10" ht="14.25" x14ac:dyDescent="0.2">
      <c r="A8" s="19"/>
      <c r="B8" s="100" t="s">
        <v>50</v>
      </c>
      <c r="C8" s="101" t="s">
        <v>45</v>
      </c>
      <c r="D8" s="101" t="s">
        <v>63</v>
      </c>
      <c r="E8" s="101" t="s">
        <v>6</v>
      </c>
      <c r="F8" s="102" cm="1">
        <f t="array" ref="F8">+SUMPRODUCT((RMP!$A$25:$A$62='Employee Hours Variance'!$F$4)*(RMP!$B$25:$B$62='Employee Hours Variance'!$B8)*(RMP!$G$10:$AG$10='Employee Hours Variance'!$C$2)*(RMP!$G$25:$AG$62))</f>
        <v>32</v>
      </c>
      <c r="G8" s="102" cm="1">
        <f t="array" ref="G8">+SUMPRODUCT((RMP!$A$25:$A$62=$G$4)*(RMP!$B$25:$B$62='Employee Hours Variance'!$B8)*(RMP!$G$10:$AG$10='Employee Hours Variance'!$C$2)*(RMP!$G$25:$AG$62))</f>
        <v>32</v>
      </c>
      <c r="H8" s="102">
        <f t="shared" si="0"/>
        <v>0</v>
      </c>
      <c r="I8" s="37"/>
      <c r="J8" s="19"/>
    </row>
    <row r="9" spans="1:10" ht="14.25" x14ac:dyDescent="0.2">
      <c r="A9" s="19"/>
      <c r="B9" s="100" t="s">
        <v>51</v>
      </c>
      <c r="C9" s="101" t="s">
        <v>46</v>
      </c>
      <c r="D9" s="101" t="s">
        <v>64</v>
      </c>
      <c r="E9" s="101" t="s">
        <v>6</v>
      </c>
      <c r="F9" s="102" cm="1">
        <f t="array" ref="F9">+SUMPRODUCT((RMP!$A$25:$A$62='Employee Hours Variance'!$F$4)*(RMP!$B$25:$B$62='Employee Hours Variance'!$B9)*(RMP!$G$10:$AG$10='Employee Hours Variance'!$C$2)*(RMP!$G$25:$AG$62))</f>
        <v>32</v>
      </c>
      <c r="G9" s="102" cm="1">
        <f t="array" ref="G9">+SUMPRODUCT((RMP!$A$25:$A$62=$G$4)*(RMP!$B$25:$B$62='Employee Hours Variance'!$B9)*(RMP!$G$10:$AG$10='Employee Hours Variance'!$C$2)*(RMP!$G$25:$AG$62))</f>
        <v>32</v>
      </c>
      <c r="H9" s="102">
        <f t="shared" si="0"/>
        <v>0</v>
      </c>
      <c r="I9" s="37"/>
      <c r="J9" s="19"/>
    </row>
    <row r="10" spans="1:10" x14ac:dyDescent="0.2">
      <c r="A10" s="19"/>
      <c r="B10" s="100" t="s">
        <v>52</v>
      </c>
      <c r="C10" s="101" t="s">
        <v>47</v>
      </c>
      <c r="D10" s="101" t="s">
        <v>65</v>
      </c>
      <c r="E10" s="101" t="s">
        <v>6</v>
      </c>
      <c r="F10" s="102" cm="1">
        <f t="array" ref="F10">+SUMPRODUCT((RMP!$A$25:$A$62='Employee Hours Variance'!$F$4)*(RMP!$B$25:$B$62='Employee Hours Variance'!$B10)*(RMP!$G$10:$AG$10='Employee Hours Variance'!$C$2)*(RMP!$G$25:$AG$62))</f>
        <v>16</v>
      </c>
      <c r="G10" s="102" cm="1">
        <f t="array" ref="G10">+SUMPRODUCT((RMP!$A$25:$A$62=$G$4)*(RMP!$B$25:$B$62='Employee Hours Variance'!$B10)*(RMP!$G$10:$AG$10='Employee Hours Variance'!$C$2)*(RMP!$G$25:$AG$62))</f>
        <v>16</v>
      </c>
      <c r="H10" s="102">
        <f t="shared" si="0"/>
        <v>0</v>
      </c>
      <c r="I10" s="42"/>
      <c r="J10" s="19"/>
    </row>
    <row r="11" spans="1:10" ht="14.25" x14ac:dyDescent="0.2">
      <c r="A11" s="19"/>
      <c r="B11" s="100" t="s">
        <v>53</v>
      </c>
      <c r="C11" s="101" t="s">
        <v>48</v>
      </c>
      <c r="D11" s="101" t="s">
        <v>49</v>
      </c>
      <c r="E11" s="101" t="s">
        <v>6</v>
      </c>
      <c r="F11" s="102" cm="1">
        <f t="array" ref="F11">+SUMPRODUCT((RMP!$A$25:$A$62='Employee Hours Variance'!$F$4)*(RMP!$B$25:$B$62='Employee Hours Variance'!$B11)*(RMP!$G$10:$AG$10='Employee Hours Variance'!$C$2)*(RMP!$G$25:$AG$62))</f>
        <v>16</v>
      </c>
      <c r="G11" s="102" cm="1">
        <f t="array" ref="G11">+SUMPRODUCT((RMP!$A$25:$A$62=$G$4)*(RMP!$B$25:$B$62='Employee Hours Variance'!$B11)*(RMP!$G$10:$AG$10='Employee Hours Variance'!$C$2)*(RMP!$G$25:$AG$62))</f>
        <v>8</v>
      </c>
      <c r="H11" s="102">
        <f t="shared" si="0"/>
        <v>8</v>
      </c>
      <c r="I11" s="37"/>
      <c r="J11" s="19"/>
    </row>
    <row r="12" spans="1:10" ht="14.25" x14ac:dyDescent="0.2">
      <c r="A12" s="19"/>
      <c r="B12" s="100" t="s">
        <v>40</v>
      </c>
      <c r="C12" s="101" t="s">
        <v>11</v>
      </c>
      <c r="D12" s="101" t="s">
        <v>10</v>
      </c>
      <c r="E12" s="101" t="s">
        <v>10</v>
      </c>
      <c r="F12" s="102" cm="1">
        <f t="array" ref="F12">+SUMPRODUCT((RMP!$A$25:$A$62='Employee Hours Variance'!$F$4)*(RMP!$B$25:$B$62='Employee Hours Variance'!$B12)*(RMP!$G$10:$AG$10='Employee Hours Variance'!$C$2)*(RMP!$G$25:$AG$62))</f>
        <v>40</v>
      </c>
      <c r="G12" s="102" cm="1">
        <f t="array" ref="G12">+SUMPRODUCT((RMP!$A$25:$A$62=$G$4)*(RMP!$B$25:$B$62='Employee Hours Variance'!$B12)*(RMP!$G$10:$AG$10='Employee Hours Variance'!$C$2)*(RMP!$G$25:$AG$62))</f>
        <v>40</v>
      </c>
      <c r="H12" s="102">
        <f t="shared" si="0"/>
        <v>0</v>
      </c>
      <c r="I12" s="37"/>
      <c r="J12" s="19"/>
    </row>
    <row r="13" spans="1:10" ht="14.25" x14ac:dyDescent="0.2">
      <c r="A13" s="19"/>
      <c r="B13" s="100" t="s">
        <v>41</v>
      </c>
      <c r="C13" s="101" t="s">
        <v>12</v>
      </c>
      <c r="D13" s="101" t="s">
        <v>10</v>
      </c>
      <c r="E13" s="101" t="s">
        <v>10</v>
      </c>
      <c r="F13" s="102" cm="1">
        <f t="array" ref="F13">+SUMPRODUCT((RMP!$A$25:$A$62='Employee Hours Variance'!$F$4)*(RMP!$B$25:$B$62='Employee Hours Variance'!$B13)*(RMP!$G$10:$AG$10='Employee Hours Variance'!$C$2)*(RMP!$G$25:$AG$62))</f>
        <v>0</v>
      </c>
      <c r="G13" s="102" cm="1">
        <f t="array" ref="G13">+SUMPRODUCT((RMP!$A$25:$A$62=$G$4)*(RMP!$B$25:$B$62='Employee Hours Variance'!$B13)*(RMP!$G$10:$AG$10='Employee Hours Variance'!$C$2)*(RMP!$G$25:$AG$62))</f>
        <v>0</v>
      </c>
      <c r="H13" s="102">
        <f t="shared" si="0"/>
        <v>0</v>
      </c>
      <c r="I13" s="37"/>
      <c r="J13" s="19"/>
    </row>
    <row r="14" spans="1:10" ht="14.25" x14ac:dyDescent="0.2">
      <c r="A14" s="19"/>
      <c r="B14" s="100" t="s">
        <v>42</v>
      </c>
      <c r="C14" s="101" t="s">
        <v>35</v>
      </c>
      <c r="D14" s="101" t="s">
        <v>16</v>
      </c>
      <c r="E14" s="101" t="s">
        <v>21</v>
      </c>
      <c r="F14" s="102" cm="1">
        <f t="array" ref="F14">+SUMPRODUCT((RMP!$A$25:$A$62='Employee Hours Variance'!$F$4)*(RMP!$B$25:$B$62='Employee Hours Variance'!$B14)*(RMP!$G$10:$AG$10='Employee Hours Variance'!$C$2)*(RMP!$G$25:$AG$62))</f>
        <v>32</v>
      </c>
      <c r="G14" s="102" cm="1">
        <f t="array" ref="G14">+SUMPRODUCT((RMP!$A$25:$A$62=$G$4)*(RMP!$B$25:$B$62='Employee Hours Variance'!$B14)*(RMP!$G$10:$AG$10='Employee Hours Variance'!$C$2)*(RMP!$G$25:$AG$62))</f>
        <v>32</v>
      </c>
      <c r="H14" s="102">
        <f t="shared" si="0"/>
        <v>0</v>
      </c>
      <c r="I14" s="37"/>
      <c r="J14" s="19"/>
    </row>
    <row r="15" spans="1:10" ht="14.25" x14ac:dyDescent="0.2">
      <c r="A15" s="19"/>
      <c r="B15" s="100" t="s">
        <v>14</v>
      </c>
      <c r="C15" s="101" t="s">
        <v>13</v>
      </c>
      <c r="D15" s="101" t="s">
        <v>16</v>
      </c>
      <c r="E15" s="101" t="s">
        <v>21</v>
      </c>
      <c r="F15" s="102" cm="1">
        <f t="array" ref="F15">+SUMPRODUCT((RMP!$A$25:$A$62='Employee Hours Variance'!$F$4)*(RMP!$B$25:$B$62='Employee Hours Variance'!$B15)*(RMP!$G$10:$AG$10='Employee Hours Variance'!$C$2)*(RMP!$G$25:$AG$62))</f>
        <v>40</v>
      </c>
      <c r="G15" s="102" cm="1">
        <f t="array" ref="G15">+SUMPRODUCT((RMP!$A$25:$A$62=$G$4)*(RMP!$B$25:$B$62='Employee Hours Variance'!$B15)*(RMP!$G$10:$AG$10='Employee Hours Variance'!$C$2)*(RMP!$G$25:$AG$62))</f>
        <v>40</v>
      </c>
      <c r="H15" s="102">
        <f t="shared" si="0"/>
        <v>0</v>
      </c>
      <c r="I15" s="37"/>
      <c r="J15" s="19"/>
    </row>
    <row r="16" spans="1:10" ht="14.25" x14ac:dyDescent="0.2">
      <c r="A16" s="19"/>
      <c r="B16" s="103" t="s">
        <v>43</v>
      </c>
      <c r="C16" s="104" t="s">
        <v>55</v>
      </c>
      <c r="D16" s="104" t="s">
        <v>17</v>
      </c>
      <c r="E16" s="104" t="s">
        <v>21</v>
      </c>
      <c r="F16" s="105" cm="1">
        <f t="array" ref="F16">+SUMPRODUCT((RMP!$A$25:$A$62='Employee Hours Variance'!$F$4)*(RMP!$B$25:$B$62='Employee Hours Variance'!$B16)*(RMP!$G$10:$AG$10='Employee Hours Variance'!$C$2)*(RMP!$G$25:$AG$62))</f>
        <v>40</v>
      </c>
      <c r="G16" s="105" cm="1">
        <f t="array" ref="G16">+SUMPRODUCT((RMP!$A$25:$A$62=$G$4)*(RMP!$B$25:$B$62='Employee Hours Variance'!$B16)*(RMP!$G$10:$AG$10='Employee Hours Variance'!$C$2)*(RMP!$G$25:$AG$62))</f>
        <v>40</v>
      </c>
      <c r="H16" s="105">
        <f t="shared" si="0"/>
        <v>0</v>
      </c>
      <c r="I16" s="38"/>
      <c r="J16" s="19"/>
    </row>
    <row r="17" spans="1:10" x14ac:dyDescent="0.2">
      <c r="A17" s="19"/>
      <c r="B17" s="106"/>
      <c r="C17" s="107"/>
      <c r="D17" s="107"/>
      <c r="E17" s="41" t="s">
        <v>66</v>
      </c>
      <c r="F17" s="40">
        <f>+SUBTOTAL(9,$F$5:$F$16)</f>
        <v>344</v>
      </c>
      <c r="G17" s="40">
        <f>+SUBTOTAL(9,$G$5:$G$16)</f>
        <v>336</v>
      </c>
      <c r="H17" s="40">
        <f>+SUBTOTAL(9,$H$5:$H$16)</f>
        <v>8</v>
      </c>
      <c r="I17" s="39"/>
      <c r="J17" s="19"/>
    </row>
    <row r="18" spans="1:10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</row>
  </sheetData>
  <autoFilter ref="B4:I4" xr:uid="{183CACF7-90EF-4B5F-BEC1-96F28D123B40}"/>
  <conditionalFormatting sqref="F5:H16">
    <cfRule type="cellIs" dxfId="2" priority="3" operator="equal">
      <formula>0</formula>
    </cfRule>
  </conditionalFormatting>
  <conditionalFormatting sqref="H5:H16">
    <cfRule type="cellIs" dxfId="1" priority="1" operator="lessThan">
      <formula>-3</formula>
    </cfRule>
    <cfRule type="cellIs" dxfId="0" priority="2" operator="greaterThan">
      <formula>3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51DB4B-987C-408C-B1FA-BAA3DDF7D358}">
          <x14:formula1>
            <xm:f>Calendar!$A$1:$A$27</xm:f>
          </x14:formula1>
          <xm:sqref>C2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0E46-259E-41ED-B462-6DB7D4C9B82C}">
  <dimension ref="A1:C27"/>
  <sheetViews>
    <sheetView workbookViewId="0"/>
  </sheetViews>
  <sheetFormatPr defaultRowHeight="12.75" x14ac:dyDescent="0.2"/>
  <cols>
    <col min="1" max="1" width="9.7109375" bestFit="1" customWidth="1"/>
    <col min="3" max="3" width="9.7109375" bestFit="1" customWidth="1"/>
  </cols>
  <sheetData>
    <row r="1" spans="1:3" x14ac:dyDescent="0.2">
      <c r="A1" s="7">
        <v>46024</v>
      </c>
      <c r="C1" s="7">
        <v>46052</v>
      </c>
    </row>
    <row r="2" spans="1:3" x14ac:dyDescent="0.2">
      <c r="A2" s="7">
        <v>46031</v>
      </c>
      <c r="C2" s="7">
        <v>46080</v>
      </c>
    </row>
    <row r="3" spans="1:3" x14ac:dyDescent="0.2">
      <c r="A3" s="7">
        <v>46038</v>
      </c>
      <c r="C3" s="7">
        <v>46108</v>
      </c>
    </row>
    <row r="4" spans="1:3" x14ac:dyDescent="0.2">
      <c r="A4" s="7">
        <v>46045</v>
      </c>
      <c r="C4" s="7">
        <v>46136</v>
      </c>
    </row>
    <row r="5" spans="1:3" x14ac:dyDescent="0.2">
      <c r="A5" s="7">
        <v>46052</v>
      </c>
      <c r="C5" s="7">
        <v>46171</v>
      </c>
    </row>
    <row r="6" spans="1:3" x14ac:dyDescent="0.2">
      <c r="A6" s="7">
        <v>46059</v>
      </c>
      <c r="C6" s="7">
        <v>46199</v>
      </c>
    </row>
    <row r="7" spans="1:3" x14ac:dyDescent="0.2">
      <c r="A7" s="7">
        <v>46066</v>
      </c>
      <c r="C7" s="7">
        <v>46206</v>
      </c>
    </row>
    <row r="8" spans="1:3" x14ac:dyDescent="0.2">
      <c r="A8" s="7">
        <v>46073</v>
      </c>
    </row>
    <row r="9" spans="1:3" x14ac:dyDescent="0.2">
      <c r="A9" s="7">
        <v>46080</v>
      </c>
    </row>
    <row r="10" spans="1:3" x14ac:dyDescent="0.2">
      <c r="A10" s="7">
        <v>46087</v>
      </c>
    </row>
    <row r="11" spans="1:3" x14ac:dyDescent="0.2">
      <c r="A11" s="7">
        <v>46094</v>
      </c>
    </row>
    <row r="12" spans="1:3" x14ac:dyDescent="0.2">
      <c r="A12" s="7">
        <v>46101</v>
      </c>
    </row>
    <row r="13" spans="1:3" x14ac:dyDescent="0.2">
      <c r="A13" s="7">
        <v>46108</v>
      </c>
    </row>
    <row r="14" spans="1:3" x14ac:dyDescent="0.2">
      <c r="A14" s="7">
        <v>46115</v>
      </c>
    </row>
    <row r="15" spans="1:3" x14ac:dyDescent="0.2">
      <c r="A15" s="7">
        <v>46122</v>
      </c>
    </row>
    <row r="16" spans="1:3" x14ac:dyDescent="0.2">
      <c r="A16" s="7">
        <v>46129</v>
      </c>
    </row>
    <row r="17" spans="1:1" x14ac:dyDescent="0.2">
      <c r="A17" s="7">
        <v>46136</v>
      </c>
    </row>
    <row r="18" spans="1:1" x14ac:dyDescent="0.2">
      <c r="A18" s="7">
        <v>46143</v>
      </c>
    </row>
    <row r="19" spans="1:1" x14ac:dyDescent="0.2">
      <c r="A19" s="7">
        <v>46150</v>
      </c>
    </row>
    <row r="20" spans="1:1" x14ac:dyDescent="0.2">
      <c r="A20" s="7">
        <v>46157</v>
      </c>
    </row>
    <row r="21" spans="1:1" x14ac:dyDescent="0.2">
      <c r="A21" s="7">
        <v>46164</v>
      </c>
    </row>
    <row r="22" spans="1:1" x14ac:dyDescent="0.2">
      <c r="A22" s="7">
        <v>46171</v>
      </c>
    </row>
    <row r="23" spans="1:1" x14ac:dyDescent="0.2">
      <c r="A23" s="7">
        <v>46178</v>
      </c>
    </row>
    <row r="24" spans="1:1" x14ac:dyDescent="0.2">
      <c r="A24" s="7">
        <v>46185</v>
      </c>
    </row>
    <row r="25" spans="1:1" x14ac:dyDescent="0.2">
      <c r="A25" s="7">
        <v>46192</v>
      </c>
    </row>
    <row r="26" spans="1:1" x14ac:dyDescent="0.2">
      <c r="A26" s="7">
        <v>46199</v>
      </c>
    </row>
    <row r="27" spans="1:1" x14ac:dyDescent="0.2">
      <c r="A27" s="7">
        <v>46206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RMP</vt:lpstr>
      <vt:lpstr>Monthly Cost Report</vt:lpstr>
      <vt:lpstr>Employee Hours Variance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Eyvazov, Parviz</dc:creator>
  <cp:lastModifiedBy>Eyvazov, Parviz</cp:lastModifiedBy>
  <cp:lastPrinted>2026-07-08T13:02:07Z</cp:lastPrinted>
  <dcterms:created xsi:type="dcterms:W3CDTF">2025-12-29T20:43:31Z</dcterms:created>
  <dcterms:modified xsi:type="dcterms:W3CDTF">2026-07-08T22:16:25Z</dcterms:modified>
</cp:coreProperties>
</file>