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Vendor Mapping" sheetId="2" state="visible" r:id="rId2"/>
    <sheet xmlns:r="http://schemas.openxmlformats.org/officeDocument/2006/relationships" name="Project Notes" sheetId="3" state="visible" r:id="rId3"/>
    <sheet xmlns:r="http://schemas.openxmlformats.org/officeDocument/2006/relationships" name="Cleaned Data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Insights" sheetId="7" state="visible" r:id="rId7"/>
  </sheets>
  <definedNames>
    <definedName name="_xlnm._FilterDatabase" localSheetId="0" hidden="1">'Raw Data'!$A$1:$N$84</definedName>
    <definedName name="_xlnm._FilterDatabase" localSheetId="1" hidden="1">'Vendor Mapping'!$A$1:$D$11</definedName>
    <definedName name="_xlnm._FilterDatabase" localSheetId="2" hidden="1">'Project Notes'!$A$1:$C$2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  <font>
      <b val="1"/>
      <color rgb="00FFFFFF"/>
    </font>
    <font>
      <b val="1"/>
      <sz val="20"/>
    </font>
    <font>
      <b val="1"/>
      <sz val="1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4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'Analysis'!$D$2:$D$8</f>
            </numRef>
          </cat>
          <val>
            <numRef>
              <f>'Analysis'!$E$2:$E$8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Vendors by Expense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'Analysis'!$G$2:$G$11</f>
            </numRef>
          </cat>
          <val>
            <numRef>
              <f>'Analysis'!$H$2:$H$11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Status by Amount</a:t>
            </a:r>
          </a:p>
        </rich>
      </tx>
    </title>
    <plotArea>
      <pieChart>
        <varyColors val="1"/>
        <ser>
          <idx val="0"/>
          <order val="0"/>
          <tx>
            <strRef>
              <f>'Analysis'!L1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'Analysis'!$J$2:$J$4</f>
            </numRef>
          </cat>
          <val>
            <numRef>
              <f>'Analysis'!$L$2:$L$4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'Analysis'!$N$2:$N$13</f>
            </numRef>
          </cat>
          <val>
            <numRef>
              <f>'Analysis'!$O$2:$O$13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edDataTable" displayName="CleanedDataTable" ref="A1:Q84" headerRowCount="1">
  <autoFilter ref="A1:Q84"/>
  <tableColumns count="17">
    <tableColumn id="1" name="Invoice ID"/>
    <tableColumn id="2" name="Invoice Date"/>
    <tableColumn id="3" name="Due Date"/>
    <tableColumn id="4" name="Vendor ID"/>
    <tableColumn id="5" name="Vendor Name"/>
    <tableColumn id="6" name="Expense Category"/>
    <tableColumn id="7" name="Department"/>
    <tableColumn id="8" name="Description"/>
    <tableColumn id="9" name="Quantity"/>
    <tableColumn id="10" name="Unit Cost"/>
    <tableColumn id="11" name="Invoice Amount"/>
    <tableColumn id="12" name="Payment Status"/>
    <tableColumn id="13" name="Payment Date"/>
    <tableColumn id="14" name="Payment Method"/>
    <tableColumn id="15" name="Lookup Department"/>
    <tableColumn id="16" name="Duplicate Check"/>
    <tableColumn id="17" name="Invoice Month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5" customWidth="1" min="5" max="5"/>
    <col width="18" customWidth="1" min="6" max="6"/>
    <col width="16" customWidth="1" min="7" max="7"/>
    <col width="2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6" customWidth="1" min="14" max="14"/>
  </cols>
  <sheetData>
    <row r="1">
      <c r="A1" s="2" t="inlineStr">
        <is>
          <t>Invoice ID</t>
        </is>
      </c>
      <c r="B1" s="2" t="inlineStr">
        <is>
          <t>Invoice Date</t>
        </is>
      </c>
      <c r="C1" s="2" t="inlineStr">
        <is>
          <t>Due Date</t>
        </is>
      </c>
      <c r="D1" s="2" t="inlineStr">
        <is>
          <t>Vendor ID</t>
        </is>
      </c>
      <c r="E1" s="2" t="inlineStr">
        <is>
          <t>Vendor Name</t>
        </is>
      </c>
      <c r="F1" s="2" t="inlineStr">
        <is>
          <t>Expense Category</t>
        </is>
      </c>
      <c r="G1" s="2" t="inlineStr">
        <is>
          <t>Department</t>
        </is>
      </c>
      <c r="H1" s="2" t="inlineStr">
        <is>
          <t>Description</t>
        </is>
      </c>
      <c r="I1" s="2" t="inlineStr">
        <is>
          <t>Quantity</t>
        </is>
      </c>
      <c r="J1" s="2" t="inlineStr">
        <is>
          <t>Unit Cost</t>
        </is>
      </c>
      <c r="K1" s="2" t="inlineStr">
        <is>
          <t>Invoice Amount</t>
        </is>
      </c>
      <c r="L1" s="2" t="inlineStr">
        <is>
          <t>Payment Status</t>
        </is>
      </c>
      <c r="M1" s="2" t="inlineStr">
        <is>
          <t>Payment Date</t>
        </is>
      </c>
      <c r="N1" s="2" t="inlineStr">
        <is>
          <t>Payment Method</t>
        </is>
      </c>
    </row>
    <row r="2">
      <c r="A2" t="inlineStr">
        <is>
          <t>INV-0001</t>
        </is>
      </c>
      <c r="B2" t="inlineStr">
        <is>
          <t>2025-01-13</t>
        </is>
      </c>
      <c r="C2" t="inlineStr">
        <is>
          <t>2025-02-27</t>
        </is>
      </c>
      <c r="D2" t="inlineStr">
        <is>
          <t>V002</t>
        </is>
      </c>
      <c r="E2" t="inlineStr">
        <is>
          <t>Tech Solutions Ltd</t>
        </is>
      </c>
      <c r="F2" t="inlineStr">
        <is>
          <t>Software</t>
        </is>
      </c>
      <c r="G2" t="inlineStr">
        <is>
          <t>IT</t>
        </is>
      </c>
      <c r="H2" t="inlineStr">
        <is>
          <t>Business application</t>
        </is>
      </c>
      <c r="I2" t="n">
        <v>4</v>
      </c>
      <c r="J2" s="3" t="n">
        <v>885.59</v>
      </c>
      <c r="K2" s="3" t="n">
        <v>3542.36</v>
      </c>
      <c r="L2" t="inlineStr">
        <is>
          <t>Paid</t>
        </is>
      </c>
      <c r="M2" t="inlineStr">
        <is>
          <t>2025-01-21</t>
        </is>
      </c>
      <c r="N2" t="inlineStr">
        <is>
          <t>UPI</t>
        </is>
      </c>
    </row>
    <row r="3">
      <c r="A3" t="inlineStr">
        <is>
          <t>INV-0002</t>
        </is>
      </c>
      <c r="B3" t="inlineStr">
        <is>
          <t>2025-01-16</t>
        </is>
      </c>
      <c r="C3" t="inlineStr">
        <is>
          <t>2025-01-31</t>
        </is>
      </c>
      <c r="D3" t="inlineStr">
        <is>
          <t>V001</t>
        </is>
      </c>
      <c r="E3" t="inlineStr">
        <is>
          <t>ABC Office Supplies</t>
        </is>
      </c>
      <c r="F3" t="inlineStr">
        <is>
          <t>Office Supplies</t>
        </is>
      </c>
      <c r="G3" t="inlineStr">
        <is>
          <t>Administration</t>
        </is>
      </c>
      <c r="H3" t="inlineStr">
        <is>
          <t>Printer paper</t>
        </is>
      </c>
      <c r="I3" t="n">
        <v>18</v>
      </c>
      <c r="J3" s="3" t="n">
        <v>428</v>
      </c>
      <c r="K3" s="3" t="n">
        <v>7703.99</v>
      </c>
      <c r="L3" t="inlineStr">
        <is>
          <t>Paid</t>
        </is>
      </c>
      <c r="M3" t="inlineStr">
        <is>
          <t>2025-01-31</t>
        </is>
      </c>
      <c r="N3" t="inlineStr">
        <is>
          <t>UPI</t>
        </is>
      </c>
    </row>
    <row r="4">
      <c r="A4" t="inlineStr">
        <is>
          <t>INV-0003</t>
        </is>
      </c>
      <c r="B4" t="inlineStr">
        <is>
          <t>2025-08-18</t>
        </is>
      </c>
      <c r="C4" t="inlineStr">
        <is>
          <t>2025-10-02</t>
        </is>
      </c>
      <c r="D4" t="inlineStr">
        <is>
          <t>V004</t>
        </is>
      </c>
      <c r="E4" t="inlineStr">
        <is>
          <t>Bright Marketing Co</t>
        </is>
      </c>
      <c r="F4" t="inlineStr">
        <is>
          <t>Marketing</t>
        </is>
      </c>
      <c r="G4" t="inlineStr">
        <is>
          <t>Marketing</t>
        </is>
      </c>
      <c r="H4" t="inlineStr">
        <is>
          <t>Digital advertising</t>
        </is>
      </c>
      <c r="I4" t="n">
        <v>14</v>
      </c>
      <c r="J4" s="3" t="n">
        <v>933.73</v>
      </c>
      <c r="K4" s="3" t="n">
        <v>13072.18</v>
      </c>
      <c r="L4" t="inlineStr">
        <is>
          <t>Paid</t>
        </is>
      </c>
      <c r="M4" t="inlineStr">
        <is>
          <t>2025-09-11</t>
        </is>
      </c>
      <c r="N4" t="inlineStr">
        <is>
          <t>Cheque</t>
        </is>
      </c>
    </row>
    <row r="5">
      <c r="A5" t="inlineStr">
        <is>
          <t>INV-0004</t>
        </is>
      </c>
      <c r="B5" t="inlineStr">
        <is>
          <t>2025-04-21</t>
        </is>
      </c>
      <c r="C5" t="inlineStr">
        <is>
          <t>2025-05-21</t>
        </is>
      </c>
      <c r="D5" t="inlineStr">
        <is>
          <t>V003</t>
        </is>
      </c>
      <c r="E5" t="inlineStr">
        <is>
          <t>CleanPro Services</t>
        </is>
      </c>
      <c r="F5" t="inlineStr">
        <is>
          <t>Facilities</t>
        </is>
      </c>
      <c r="G5" t="inlineStr">
        <is>
          <t>Facilities</t>
        </is>
      </c>
      <c r="H5" t="inlineStr">
        <is>
          <t>Maintenance</t>
        </is>
      </c>
      <c r="I5" t="n">
        <v>12</v>
      </c>
      <c r="J5" s="3" t="n">
        <v>487.83</v>
      </c>
      <c r="K5" s="3" t="n">
        <v>5853.93</v>
      </c>
      <c r="L5" t="inlineStr">
        <is>
          <t>Paid</t>
        </is>
      </c>
      <c r="M5" t="inlineStr">
        <is>
          <t>2025-05-10</t>
        </is>
      </c>
      <c r="N5" t="inlineStr">
        <is>
          <t>Bank Transfer</t>
        </is>
      </c>
    </row>
    <row r="6">
      <c r="A6" t="inlineStr">
        <is>
          <t>INV-0005</t>
        </is>
      </c>
      <c r="B6" t="inlineStr">
        <is>
          <t>2025-10-02</t>
        </is>
      </c>
      <c r="C6" t="inlineStr">
        <is>
          <t>2025-10-17</t>
        </is>
      </c>
      <c r="D6" t="inlineStr">
        <is>
          <t>V008</t>
        </is>
      </c>
      <c r="E6" t="inlineStr">
        <is>
          <t>CloudWorks Software</t>
        </is>
      </c>
      <c r="F6" t="inlineStr">
        <is>
          <t>Software</t>
        </is>
      </c>
      <c r="G6" t="inlineStr">
        <is>
          <t>IT</t>
        </is>
      </c>
      <c r="H6" t="inlineStr">
        <is>
          <t>Business application</t>
        </is>
      </c>
      <c r="I6" t="n">
        <v>10</v>
      </c>
      <c r="J6" s="3" t="n">
        <v>583.34</v>
      </c>
      <c r="K6" s="3" t="n">
        <v>5833.38</v>
      </c>
      <c r="L6" t="inlineStr">
        <is>
          <t>Overdue</t>
        </is>
      </c>
    </row>
    <row r="7">
      <c r="A7" t="inlineStr">
        <is>
          <t>INV-0006</t>
        </is>
      </c>
      <c r="B7" t="inlineStr">
        <is>
          <t>2025-07-05</t>
        </is>
      </c>
      <c r="C7" t="inlineStr">
        <is>
          <t>2025-08-19</t>
        </is>
      </c>
      <c r="D7" t="inlineStr">
        <is>
          <t>V010</t>
        </is>
      </c>
      <c r="E7" t="inlineStr">
        <is>
          <t>FreshBite Catering</t>
        </is>
      </c>
      <c r="F7" t="inlineStr">
        <is>
          <t>Office Supplies</t>
        </is>
      </c>
      <c r="G7" t="inlineStr">
        <is>
          <t>Administration</t>
        </is>
      </c>
      <c r="H7" t="inlineStr">
        <is>
          <t>Printer cartridges</t>
        </is>
      </c>
      <c r="I7" t="n">
        <v>8</v>
      </c>
      <c r="J7" s="3" t="n">
        <v>159.49</v>
      </c>
      <c r="K7" s="3" t="n">
        <v>1275.94</v>
      </c>
      <c r="L7" t="inlineStr">
        <is>
          <t>Paid</t>
        </is>
      </c>
      <c r="M7" t="inlineStr">
        <is>
          <t>2025-07-26</t>
        </is>
      </c>
      <c r="N7" t="inlineStr">
        <is>
          <t>Bank Transfer</t>
        </is>
      </c>
    </row>
    <row r="8">
      <c r="A8" t="inlineStr">
        <is>
          <t>INV-0007</t>
        </is>
      </c>
      <c r="B8" t="inlineStr">
        <is>
          <t>2025-02-21</t>
        </is>
      </c>
      <c r="C8" t="inlineStr">
        <is>
          <t>2025-03-23</t>
        </is>
      </c>
      <c r="D8" t="inlineStr">
        <is>
          <t>V004</t>
        </is>
      </c>
      <c r="E8" t="inlineStr">
        <is>
          <t>Bright Marketing Co</t>
        </is>
      </c>
      <c r="F8" t="inlineStr">
        <is>
          <t>Marketing</t>
        </is>
      </c>
      <c r="G8" t="inlineStr">
        <is>
          <t>Marketing</t>
        </is>
      </c>
      <c r="H8" t="inlineStr">
        <is>
          <t>Printing and promotion</t>
        </is>
      </c>
      <c r="I8" t="n">
        <v>6</v>
      </c>
      <c r="J8" s="3" t="n">
        <v>1604.39</v>
      </c>
      <c r="K8" s="3" t="n">
        <v>9626.35</v>
      </c>
      <c r="L8" t="inlineStr">
        <is>
          <t>Paid</t>
        </is>
      </c>
      <c r="M8" t="inlineStr">
        <is>
          <t>2025-03-19</t>
        </is>
      </c>
      <c r="N8" t="inlineStr">
        <is>
          <t>Cheque</t>
        </is>
      </c>
    </row>
    <row r="9">
      <c r="A9" t="inlineStr">
        <is>
          <t>INV-0008</t>
        </is>
      </c>
      <c r="B9" t="inlineStr">
        <is>
          <t>2025-12-10</t>
        </is>
      </c>
      <c r="C9" t="inlineStr">
        <is>
          <t>2026-01-09</t>
        </is>
      </c>
      <c r="D9" t="inlineStr">
        <is>
          <t>V004</t>
        </is>
      </c>
      <c r="E9" t="inlineStr">
        <is>
          <t>Bright Marketing Co</t>
        </is>
      </c>
      <c r="F9" t="inlineStr">
        <is>
          <t>Marketing</t>
        </is>
      </c>
      <c r="G9" t="inlineStr">
        <is>
          <t>Marketing</t>
        </is>
      </c>
      <c r="H9" t="inlineStr">
        <is>
          <t>Digital advertising</t>
        </is>
      </c>
      <c r="I9" t="n">
        <v>20</v>
      </c>
      <c r="J9" s="3" t="n">
        <v>516.62</v>
      </c>
      <c r="K9" s="3" t="n">
        <v>10332.33</v>
      </c>
      <c r="L9" t="inlineStr">
        <is>
          <t>Pending</t>
        </is>
      </c>
    </row>
    <row r="10">
      <c r="A10" t="inlineStr">
        <is>
          <t>INV-0009</t>
        </is>
      </c>
      <c r="B10" t="inlineStr">
        <is>
          <t>2025-10-01</t>
        </is>
      </c>
      <c r="C10" t="inlineStr">
        <is>
          <t>2025-11-15</t>
        </is>
      </c>
      <c r="D10" t="inlineStr">
        <is>
          <t>V003</t>
        </is>
      </c>
      <c r="E10" t="inlineStr">
        <is>
          <t>CleanPro Services</t>
        </is>
      </c>
      <c r="F10" t="inlineStr">
        <is>
          <t>Facilities</t>
        </is>
      </c>
      <c r="G10" t="inlineStr">
        <is>
          <t>Facilities</t>
        </is>
      </c>
      <c r="H10" t="inlineStr">
        <is>
          <t>Maintenance</t>
        </is>
      </c>
      <c r="I10" t="n">
        <v>18</v>
      </c>
      <c r="J10" s="3" t="n">
        <v>392.69</v>
      </c>
      <c r="K10" s="3" t="n">
        <v>7068.34</v>
      </c>
      <c r="L10" t="inlineStr">
        <is>
          <t>Paid</t>
        </is>
      </c>
      <c r="M10" t="inlineStr">
        <is>
          <t>2025-10-18</t>
        </is>
      </c>
      <c r="N10" t="inlineStr">
        <is>
          <t>Cheque</t>
        </is>
      </c>
    </row>
    <row r="11">
      <c r="A11" t="inlineStr">
        <is>
          <t>INV-0010</t>
        </is>
      </c>
      <c r="B11" t="inlineStr">
        <is>
          <t>2025-04-28</t>
        </is>
      </c>
      <c r="C11" t="inlineStr">
        <is>
          <t>2025-05-13</t>
        </is>
      </c>
      <c r="D11" t="inlineStr">
        <is>
          <t>V001</t>
        </is>
      </c>
      <c r="E11" t="inlineStr">
        <is>
          <t>ABC Office Supplies</t>
        </is>
      </c>
      <c r="F11" t="inlineStr">
        <is>
          <t>Office Supplies</t>
        </is>
      </c>
      <c r="G11" t="inlineStr">
        <is>
          <t>Administration</t>
        </is>
      </c>
      <c r="H11" t="inlineStr">
        <is>
          <t>Printer paper</t>
        </is>
      </c>
      <c r="I11" t="n">
        <v>7</v>
      </c>
      <c r="J11" s="3" t="n">
        <v>881.03</v>
      </c>
      <c r="K11" s="3" t="n">
        <v>6167.18</v>
      </c>
      <c r="L11" t="inlineStr">
        <is>
          <t>Pending</t>
        </is>
      </c>
    </row>
    <row r="12">
      <c r="A12" t="inlineStr">
        <is>
          <t>INV-0011</t>
        </is>
      </c>
      <c r="B12" t="inlineStr">
        <is>
          <t>2025-06-11</t>
        </is>
      </c>
      <c r="C12" t="inlineStr">
        <is>
          <t>2025-06-26</t>
        </is>
      </c>
      <c r="D12" t="inlineStr">
        <is>
          <t>V010</t>
        </is>
      </c>
      <c r="E12" t="inlineStr">
        <is>
          <t>FreshBite Catering</t>
        </is>
      </c>
      <c r="F12" t="inlineStr">
        <is>
          <t>Office Supplies</t>
        </is>
      </c>
      <c r="G12" t="inlineStr">
        <is>
          <t>Administration</t>
        </is>
      </c>
      <c r="H12" t="inlineStr">
        <is>
          <t>Printer cartridges</t>
        </is>
      </c>
      <c r="I12" t="n">
        <v>15</v>
      </c>
      <c r="J12" s="3" t="n">
        <v>405.7</v>
      </c>
      <c r="K12" s="3" t="n">
        <v>6085.57</v>
      </c>
      <c r="L12" t="inlineStr">
        <is>
          <t>Pending</t>
        </is>
      </c>
    </row>
    <row r="13">
      <c r="A13" t="inlineStr">
        <is>
          <t>INV-0012</t>
        </is>
      </c>
      <c r="B13" t="inlineStr">
        <is>
          <t>2025-05-16</t>
        </is>
      </c>
      <c r="C13" t="inlineStr">
        <is>
          <t>2025-05-31</t>
        </is>
      </c>
      <c r="D13" t="inlineStr">
        <is>
          <t>V003</t>
        </is>
      </c>
      <c r="E13" t="inlineStr">
        <is>
          <t>CleanPro Services</t>
        </is>
      </c>
      <c r="F13" t="inlineStr">
        <is>
          <t>Facilities</t>
        </is>
      </c>
      <c r="G13" t="inlineStr">
        <is>
          <t>Facilities</t>
        </is>
      </c>
      <c r="H13" t="inlineStr">
        <is>
          <t>Maintenance</t>
        </is>
      </c>
      <c r="I13" t="n">
        <v>19</v>
      </c>
      <c r="J13" s="3" t="n">
        <v>448.96</v>
      </c>
      <c r="K13" s="3" t="n">
        <v>8530.18</v>
      </c>
      <c r="L13" t="inlineStr">
        <is>
          <t>Paid</t>
        </is>
      </c>
      <c r="M13" t="inlineStr">
        <is>
          <t>2025-06-15</t>
        </is>
      </c>
      <c r="N13" t="inlineStr">
        <is>
          <t>UPI</t>
        </is>
      </c>
    </row>
    <row r="14">
      <c r="A14" t="inlineStr">
        <is>
          <t>INV-0013</t>
        </is>
      </c>
      <c r="B14" t="inlineStr">
        <is>
          <t>2025-04-23</t>
        </is>
      </c>
      <c r="C14" t="inlineStr">
        <is>
          <t>2025-05-08</t>
        </is>
      </c>
      <c r="D14" t="inlineStr">
        <is>
          <t>V006</t>
        </is>
      </c>
      <c r="E14" t="inlineStr">
        <is>
          <t>PeopleFirst HR Services</t>
        </is>
      </c>
      <c r="F14" t="inlineStr">
        <is>
          <t>HR Services</t>
        </is>
      </c>
      <c r="G14" t="inlineStr">
        <is>
          <t>HR</t>
        </is>
      </c>
      <c r="H14" t="inlineStr">
        <is>
          <t>Recruitment service</t>
        </is>
      </c>
      <c r="I14" t="n">
        <v>4</v>
      </c>
      <c r="J14" s="3" t="n">
        <v>397.73</v>
      </c>
      <c r="K14" s="3" t="n">
        <v>1590.91</v>
      </c>
      <c r="L14" t="inlineStr">
        <is>
          <t>Paid</t>
        </is>
      </c>
      <c r="M14" t="inlineStr">
        <is>
          <t>2025-05-05</t>
        </is>
      </c>
      <c r="N14" t="inlineStr">
        <is>
          <t>Credit Card</t>
        </is>
      </c>
    </row>
    <row r="15">
      <c r="A15" t="inlineStr">
        <is>
          <t>INV-0014</t>
        </is>
      </c>
      <c r="B15" t="inlineStr">
        <is>
          <t>2025-11-02</t>
        </is>
      </c>
      <c r="C15" t="inlineStr">
        <is>
          <t>2025-11-17</t>
        </is>
      </c>
      <c r="D15" t="inlineStr">
        <is>
          <t>V007</t>
        </is>
      </c>
      <c r="E15" t="inlineStr">
        <is>
          <t>SafeGuard Security</t>
        </is>
      </c>
      <c r="F15" t="inlineStr">
        <is>
          <t>Facilities</t>
        </is>
      </c>
      <c r="G15" t="inlineStr">
        <is>
          <t>Facilities</t>
        </is>
      </c>
      <c r="H15" t="inlineStr">
        <is>
          <t>Maintenance</t>
        </is>
      </c>
      <c r="I15" t="n">
        <v>17</v>
      </c>
      <c r="J15" s="3" t="n">
        <v>531.73</v>
      </c>
      <c r="K15" s="3" t="n">
        <v>9039.35</v>
      </c>
      <c r="L15" t="inlineStr">
        <is>
          <t>Paid</t>
        </is>
      </c>
      <c r="M15" t="inlineStr">
        <is>
          <t>2025-11-21</t>
        </is>
      </c>
      <c r="N15" t="inlineStr">
        <is>
          <t>Bank Transfer</t>
        </is>
      </c>
    </row>
    <row r="16">
      <c r="A16" t="inlineStr">
        <is>
          <t>INV-0015</t>
        </is>
      </c>
      <c r="B16" t="inlineStr">
        <is>
          <t>2025-12-16</t>
        </is>
      </c>
      <c r="C16" t="inlineStr">
        <is>
          <t>2026-01-30</t>
        </is>
      </c>
      <c r="D16" t="inlineStr">
        <is>
          <t>V002</t>
        </is>
      </c>
      <c r="E16" t="inlineStr">
        <is>
          <t>Tech Solutions Ltd</t>
        </is>
      </c>
      <c r="F16" t="inlineStr">
        <is>
          <t>Software</t>
        </is>
      </c>
      <c r="G16" t="inlineStr">
        <is>
          <t>IT</t>
        </is>
      </c>
      <c r="H16" t="inlineStr">
        <is>
          <t>Cloud storage</t>
        </is>
      </c>
      <c r="I16" t="n">
        <v>4</v>
      </c>
      <c r="J16" s="3" t="n">
        <v>2896.71</v>
      </c>
      <c r="K16" s="3" t="n">
        <v>11586.83</v>
      </c>
      <c r="L16" t="inlineStr">
        <is>
          <t>Pending</t>
        </is>
      </c>
    </row>
    <row r="17">
      <c r="A17" t="inlineStr">
        <is>
          <t>INV-0016</t>
        </is>
      </c>
      <c r="B17" t="inlineStr">
        <is>
          <t>2025-08-11</t>
        </is>
      </c>
      <c r="C17" t="inlineStr">
        <is>
          <t>2025-08-26</t>
        </is>
      </c>
      <c r="D17" t="inlineStr">
        <is>
          <t>V005</t>
        </is>
      </c>
      <c r="E17" t="inlineStr">
        <is>
          <t>Metro Logistics</t>
        </is>
      </c>
      <c r="F17" t="inlineStr">
        <is>
          <t>Logistics</t>
        </is>
      </c>
      <c r="G17" t="inlineStr">
        <is>
          <t>Operations</t>
        </is>
      </c>
      <c r="H17" t="inlineStr">
        <is>
          <t>Delivery service</t>
        </is>
      </c>
      <c r="I17" t="n">
        <v>9</v>
      </c>
      <c r="J17" s="3" t="n">
        <v>1590.98</v>
      </c>
      <c r="K17" s="3" t="n">
        <v>14318.78</v>
      </c>
      <c r="L17" t="inlineStr">
        <is>
          <t>Paid</t>
        </is>
      </c>
      <c r="M17" t="inlineStr">
        <is>
          <t>2025-09-15</t>
        </is>
      </c>
      <c r="N17" t="inlineStr">
        <is>
          <t>Credit Card</t>
        </is>
      </c>
    </row>
    <row r="18">
      <c r="A18" t="inlineStr">
        <is>
          <t>INV-0017</t>
        </is>
      </c>
      <c r="B18" t="inlineStr">
        <is>
          <t>2025-02-24</t>
        </is>
      </c>
      <c r="C18" t="inlineStr">
        <is>
          <t>2025-04-10</t>
        </is>
      </c>
      <c r="D18" t="inlineStr">
        <is>
          <t>V009</t>
        </is>
      </c>
      <c r="E18" t="inlineStr">
        <is>
          <t>Prime Travel Services</t>
        </is>
      </c>
      <c r="F18" t="inlineStr">
        <is>
          <t>Travel</t>
        </is>
      </c>
      <c r="G18" t="inlineStr">
        <is>
          <t>Operations</t>
        </is>
      </c>
      <c r="H18" t="inlineStr">
        <is>
          <t>Travel expenses</t>
        </is>
      </c>
      <c r="I18" t="n">
        <v>7</v>
      </c>
      <c r="J18" s="3" t="n">
        <v>1382.07</v>
      </c>
      <c r="K18" s="3" t="n">
        <v>9674.51</v>
      </c>
      <c r="L18" t="inlineStr">
        <is>
          <t>Paid</t>
        </is>
      </c>
      <c r="M18" t="inlineStr">
        <is>
          <t>2025-03-08</t>
        </is>
      </c>
      <c r="N18" t="inlineStr">
        <is>
          <t>Cheque</t>
        </is>
      </c>
    </row>
    <row r="19">
      <c r="A19" t="inlineStr">
        <is>
          <t>INV-0018</t>
        </is>
      </c>
      <c r="B19" t="inlineStr">
        <is>
          <t>2025-10-04</t>
        </is>
      </c>
      <c r="C19" t="inlineStr">
        <is>
          <t>2025-11-18</t>
        </is>
      </c>
      <c r="D19" t="inlineStr">
        <is>
          <t>V003</t>
        </is>
      </c>
      <c r="E19" t="inlineStr">
        <is>
          <t>CleanPro Services</t>
        </is>
      </c>
      <c r="F19" t="inlineStr">
        <is>
          <t>Facilities</t>
        </is>
      </c>
      <c r="G19" t="inlineStr">
        <is>
          <t>Facilities</t>
        </is>
      </c>
      <c r="H19" t="inlineStr">
        <is>
          <t>Maintenance</t>
        </is>
      </c>
      <c r="I19" t="n">
        <v>1</v>
      </c>
      <c r="J19" s="3" t="n">
        <v>9084.43</v>
      </c>
      <c r="K19" s="3" t="n">
        <v>9084.43</v>
      </c>
      <c r="L19" t="inlineStr">
        <is>
          <t>Overdue</t>
        </is>
      </c>
    </row>
    <row r="20">
      <c r="A20" t="inlineStr">
        <is>
          <t>INV-0019</t>
        </is>
      </c>
      <c r="B20" t="inlineStr">
        <is>
          <t>2025-07-05</t>
        </is>
      </c>
      <c r="C20" t="inlineStr">
        <is>
          <t>2025-08-04</t>
        </is>
      </c>
      <c r="D20" t="inlineStr">
        <is>
          <t>V002</t>
        </is>
      </c>
      <c r="E20" t="inlineStr">
        <is>
          <t>Tech Solutions Ltd</t>
        </is>
      </c>
      <c r="F20" t="inlineStr">
        <is>
          <t>Software</t>
        </is>
      </c>
      <c r="G20" t="inlineStr">
        <is>
          <t>IT</t>
        </is>
      </c>
      <c r="H20" t="inlineStr">
        <is>
          <t>Business application</t>
        </is>
      </c>
      <c r="I20" t="n">
        <v>3</v>
      </c>
      <c r="J20" s="3" t="n">
        <v>1267.62</v>
      </c>
      <c r="K20" s="3" t="n">
        <v>3802.86</v>
      </c>
      <c r="L20" t="inlineStr">
        <is>
          <t>Paid</t>
        </is>
      </c>
      <c r="M20" t="inlineStr">
        <is>
          <t>2025-07-13</t>
        </is>
      </c>
      <c r="N20" t="inlineStr">
        <is>
          <t>UPI</t>
        </is>
      </c>
    </row>
    <row r="21">
      <c r="A21" t="inlineStr">
        <is>
          <t>INV-0020</t>
        </is>
      </c>
      <c r="B21" t="inlineStr">
        <is>
          <t>2025-09-30</t>
        </is>
      </c>
      <c r="C21" t="inlineStr">
        <is>
          <t>2025-10-15</t>
        </is>
      </c>
      <c r="D21" t="inlineStr">
        <is>
          <t>V002</t>
        </is>
      </c>
      <c r="E21" t="inlineStr">
        <is>
          <t>Tech Solutions Ltd</t>
        </is>
      </c>
      <c r="F21" t="inlineStr">
        <is>
          <t>Software</t>
        </is>
      </c>
      <c r="G21" t="inlineStr">
        <is>
          <t>IT</t>
        </is>
      </c>
      <c r="H21" t="inlineStr">
        <is>
          <t>Business application</t>
        </is>
      </c>
      <c r="I21" t="n">
        <v>6</v>
      </c>
      <c r="J21" s="3" t="n">
        <v>1210.07</v>
      </c>
      <c r="K21" s="3" t="n">
        <v>7260.42</v>
      </c>
      <c r="L21" t="inlineStr">
        <is>
          <t>Paid</t>
        </is>
      </c>
      <c r="M21" t="inlineStr">
        <is>
          <t>2025-10-19</t>
        </is>
      </c>
      <c r="N21" t="inlineStr">
        <is>
          <t>UPI</t>
        </is>
      </c>
    </row>
    <row r="22">
      <c r="A22" t="inlineStr">
        <is>
          <t>INV-0021</t>
        </is>
      </c>
      <c r="B22" t="inlineStr">
        <is>
          <t>2025-10-04</t>
        </is>
      </c>
      <c r="C22" t="inlineStr">
        <is>
          <t>2025-11-18</t>
        </is>
      </c>
      <c r="D22" t="inlineStr">
        <is>
          <t>V004</t>
        </is>
      </c>
      <c r="E22" t="inlineStr">
        <is>
          <t>Bright Marketing Co</t>
        </is>
      </c>
      <c r="F22" t="inlineStr">
        <is>
          <t>Marketing</t>
        </is>
      </c>
      <c r="G22" t="inlineStr">
        <is>
          <t>Marketing</t>
        </is>
      </c>
      <c r="H22" t="inlineStr">
        <is>
          <t>Printing and promotion</t>
        </is>
      </c>
      <c r="I22" t="n">
        <v>12</v>
      </c>
      <c r="J22" s="3" t="n">
        <v>897.17</v>
      </c>
      <c r="K22" s="3" t="n">
        <v>10766</v>
      </c>
      <c r="L22" t="inlineStr">
        <is>
          <t>Pending</t>
        </is>
      </c>
    </row>
    <row r="23">
      <c r="A23" t="inlineStr">
        <is>
          <t>INV-0022</t>
        </is>
      </c>
      <c r="B23" t="inlineStr">
        <is>
          <t>2025-09-22</t>
        </is>
      </c>
      <c r="C23" t="inlineStr">
        <is>
          <t>2025-10-22</t>
        </is>
      </c>
      <c r="D23" t="inlineStr">
        <is>
          <t>V008</t>
        </is>
      </c>
      <c r="E23" t="inlineStr">
        <is>
          <t>CloudWorks Software</t>
        </is>
      </c>
      <c r="F23" t="inlineStr">
        <is>
          <t>Software</t>
        </is>
      </c>
      <c r="G23" t="inlineStr">
        <is>
          <t>IT</t>
        </is>
      </c>
      <c r="H23" t="inlineStr">
        <is>
          <t>Cloud storage</t>
        </is>
      </c>
      <c r="I23" t="n">
        <v>1</v>
      </c>
      <c r="J23" s="3" t="n">
        <v>3564.29</v>
      </c>
      <c r="K23" s="3" t="n">
        <v>3564.29</v>
      </c>
      <c r="L23" t="inlineStr">
        <is>
          <t>Paid</t>
        </is>
      </c>
      <c r="M23" t="inlineStr">
        <is>
          <t>2025-10-09</t>
        </is>
      </c>
      <c r="N23" t="inlineStr">
        <is>
          <t>Credit Card</t>
        </is>
      </c>
    </row>
    <row r="24">
      <c r="A24" t="inlineStr">
        <is>
          <t>INV-0023</t>
        </is>
      </c>
      <c r="B24" t="inlineStr">
        <is>
          <t>2025-02-06</t>
        </is>
      </c>
      <c r="C24" t="inlineStr">
        <is>
          <t>2025-03-23</t>
        </is>
      </c>
      <c r="D24" t="inlineStr">
        <is>
          <t>V001</t>
        </is>
      </c>
      <c r="E24" t="inlineStr">
        <is>
          <t>ABC Office Supplies</t>
        </is>
      </c>
      <c r="F24" t="inlineStr">
        <is>
          <t>Office Supplies</t>
        </is>
      </c>
      <c r="G24" t="inlineStr">
        <is>
          <t>Administration</t>
        </is>
      </c>
      <c r="H24" t="inlineStr">
        <is>
          <t>Printer paper</t>
        </is>
      </c>
      <c r="I24" t="n">
        <v>11</v>
      </c>
      <c r="J24" s="3" t="n">
        <v>329.72</v>
      </c>
      <c r="K24" s="3" t="n">
        <v>3626.89</v>
      </c>
      <c r="L24" t="inlineStr">
        <is>
          <t>Pending</t>
        </is>
      </c>
    </row>
    <row r="25">
      <c r="A25" t="inlineStr">
        <is>
          <t>INV-0024</t>
        </is>
      </c>
      <c r="B25" t="inlineStr">
        <is>
          <t>2025-09-21</t>
        </is>
      </c>
      <c r="C25" t="inlineStr">
        <is>
          <t>2025-10-06</t>
        </is>
      </c>
      <c r="D25" t="inlineStr">
        <is>
          <t>V002</t>
        </is>
      </c>
      <c r="E25" t="inlineStr">
        <is>
          <t>Tech Solutions Ltd</t>
        </is>
      </c>
      <c r="F25" t="inlineStr">
        <is>
          <t>Software</t>
        </is>
      </c>
      <c r="G25" t="inlineStr">
        <is>
          <t>IT</t>
        </is>
      </c>
      <c r="H25" t="inlineStr">
        <is>
          <t>Business application</t>
        </is>
      </c>
      <c r="I25" t="n">
        <v>5</v>
      </c>
      <c r="J25" s="3" t="n">
        <v>1481.97</v>
      </c>
      <c r="K25" s="3" t="n">
        <v>7409.86</v>
      </c>
      <c r="L25" t="inlineStr">
        <is>
          <t>Paid</t>
        </is>
      </c>
      <c r="M25" t="inlineStr">
        <is>
          <t>2025-10-24</t>
        </is>
      </c>
      <c r="N25" t="inlineStr">
        <is>
          <t>Credit Card</t>
        </is>
      </c>
    </row>
    <row r="26">
      <c r="A26" t="inlineStr">
        <is>
          <t>INV-0025</t>
        </is>
      </c>
      <c r="B26" t="inlineStr">
        <is>
          <t>2025-07-28</t>
        </is>
      </c>
      <c r="C26" t="inlineStr">
        <is>
          <t>2025-08-12</t>
        </is>
      </c>
      <c r="D26" t="inlineStr">
        <is>
          <t>V008</t>
        </is>
      </c>
      <c r="E26" t="inlineStr">
        <is>
          <t>CloudWorks Software</t>
        </is>
      </c>
      <c r="F26" t="inlineStr">
        <is>
          <t>Software</t>
        </is>
      </c>
      <c r="G26" t="inlineStr">
        <is>
          <t>IT</t>
        </is>
      </c>
      <c r="H26" t="inlineStr">
        <is>
          <t>Cloud storage</t>
        </is>
      </c>
      <c r="I26" t="n">
        <v>14</v>
      </c>
      <c r="J26" s="3" t="n">
        <v>712.14</v>
      </c>
      <c r="K26" s="3" t="n">
        <v>9970</v>
      </c>
      <c r="L26" t="inlineStr">
        <is>
          <t>Paid</t>
        </is>
      </c>
      <c r="M26" t="inlineStr">
        <is>
          <t>2025-08-26</t>
        </is>
      </c>
      <c r="N26" t="inlineStr">
        <is>
          <t>UPI</t>
        </is>
      </c>
    </row>
    <row r="27">
      <c r="A27" t="inlineStr">
        <is>
          <t>INV-0026</t>
        </is>
      </c>
      <c r="B27" t="inlineStr">
        <is>
          <t>2025-12-11</t>
        </is>
      </c>
      <c r="C27" t="inlineStr">
        <is>
          <t>2026-01-25</t>
        </is>
      </c>
      <c r="D27" t="inlineStr">
        <is>
          <t>V001</t>
        </is>
      </c>
      <c r="E27" t="inlineStr">
        <is>
          <t>ABC Office Supplies</t>
        </is>
      </c>
      <c r="F27" t="inlineStr">
        <is>
          <t>Office Supplies</t>
        </is>
      </c>
      <c r="G27" t="inlineStr">
        <is>
          <t>Administration</t>
        </is>
      </c>
      <c r="H27" t="inlineStr">
        <is>
          <t>Pens and stationery</t>
        </is>
      </c>
      <c r="I27" t="n">
        <v>11</v>
      </c>
      <c r="J27" s="3" t="n">
        <v>154.7</v>
      </c>
      <c r="K27" s="3" t="n">
        <v>1701.66</v>
      </c>
      <c r="L27" t="inlineStr">
        <is>
          <t>Overdue</t>
        </is>
      </c>
    </row>
    <row r="28">
      <c r="A28" t="inlineStr">
        <is>
          <t>INV-0027</t>
        </is>
      </c>
      <c r="B28" t="inlineStr">
        <is>
          <t>2025-05-08</t>
        </is>
      </c>
      <c r="C28" t="inlineStr">
        <is>
          <t>2025-05-23</t>
        </is>
      </c>
      <c r="D28" t="inlineStr">
        <is>
          <t>V002</t>
        </is>
      </c>
      <c r="E28" t="inlineStr">
        <is>
          <t>Tech Solutions Ltd</t>
        </is>
      </c>
      <c r="F28" t="inlineStr">
        <is>
          <t>Software</t>
        </is>
      </c>
      <c r="G28" t="inlineStr">
        <is>
          <t>IT</t>
        </is>
      </c>
      <c r="H28" t="inlineStr">
        <is>
          <t>Cloud storage</t>
        </is>
      </c>
      <c r="I28" t="n">
        <v>6</v>
      </c>
      <c r="J28" s="3" t="n">
        <v>1144.51</v>
      </c>
      <c r="K28" s="3" t="n">
        <v>6867.05</v>
      </c>
      <c r="L28" t="inlineStr">
        <is>
          <t>Paid</t>
        </is>
      </c>
      <c r="M28" t="inlineStr">
        <is>
          <t>2025-05-28</t>
        </is>
      </c>
      <c r="N28" t="inlineStr">
        <is>
          <t>UPI</t>
        </is>
      </c>
    </row>
    <row r="29">
      <c r="A29" t="inlineStr">
        <is>
          <t>INV-0028</t>
        </is>
      </c>
      <c r="B29" t="inlineStr">
        <is>
          <t>2025-02-08</t>
        </is>
      </c>
      <c r="C29" t="inlineStr">
        <is>
          <t>2025-03-10</t>
        </is>
      </c>
      <c r="D29" t="inlineStr">
        <is>
          <t>V004</t>
        </is>
      </c>
      <c r="E29" t="inlineStr">
        <is>
          <t>Bright Marketing Co</t>
        </is>
      </c>
      <c r="F29" t="inlineStr">
        <is>
          <t>Marketing</t>
        </is>
      </c>
      <c r="G29" t="inlineStr">
        <is>
          <t>Marketing</t>
        </is>
      </c>
      <c r="H29" t="inlineStr">
        <is>
          <t>Digital advertising</t>
        </is>
      </c>
      <c r="I29" t="n">
        <v>2</v>
      </c>
      <c r="J29" s="3" t="n">
        <v>6437.76</v>
      </c>
      <c r="K29" s="3" t="n">
        <v>12875.51</v>
      </c>
      <c r="L29" t="inlineStr">
        <is>
          <t>Pending</t>
        </is>
      </c>
    </row>
    <row r="30">
      <c r="A30" t="inlineStr">
        <is>
          <t>INV-0029</t>
        </is>
      </c>
      <c r="B30" t="inlineStr">
        <is>
          <t>2025-01-08</t>
        </is>
      </c>
      <c r="C30" t="inlineStr">
        <is>
          <t>2025-01-23</t>
        </is>
      </c>
      <c r="D30" t="inlineStr">
        <is>
          <t>V009</t>
        </is>
      </c>
      <c r="E30" t="inlineStr">
        <is>
          <t>Prime Travel Services</t>
        </is>
      </c>
      <c r="F30" t="inlineStr">
        <is>
          <t>Travel</t>
        </is>
      </c>
      <c r="G30" t="inlineStr">
        <is>
          <t>Operations</t>
        </is>
      </c>
      <c r="H30" t="inlineStr">
        <is>
          <t>Flight booking</t>
        </is>
      </c>
      <c r="I30" t="n">
        <v>14</v>
      </c>
      <c r="J30" s="3" t="n">
        <v>912.02</v>
      </c>
      <c r="K30" s="3" t="n">
        <v>12768.26</v>
      </c>
      <c r="L30" t="inlineStr">
        <is>
          <t>Overdue</t>
        </is>
      </c>
    </row>
    <row r="31">
      <c r="A31" t="inlineStr">
        <is>
          <t>INV-0030</t>
        </is>
      </c>
      <c r="B31" t="inlineStr">
        <is>
          <t>2025-09-04</t>
        </is>
      </c>
      <c r="C31" t="inlineStr">
        <is>
          <t>2025-09-19</t>
        </is>
      </c>
      <c r="D31" t="inlineStr">
        <is>
          <t>V008</t>
        </is>
      </c>
      <c r="E31" t="inlineStr">
        <is>
          <t>CloudWorks Software</t>
        </is>
      </c>
      <c r="F31" t="inlineStr">
        <is>
          <t>Software</t>
        </is>
      </c>
      <c r="G31" t="inlineStr">
        <is>
          <t>IT</t>
        </is>
      </c>
      <c r="H31" t="inlineStr">
        <is>
          <t>Software subscription</t>
        </is>
      </c>
      <c r="I31" t="n">
        <v>13</v>
      </c>
      <c r="J31" s="3" t="n">
        <v>1043.16</v>
      </c>
      <c r="K31" s="3" t="n">
        <v>13561.03</v>
      </c>
      <c r="L31" t="inlineStr">
        <is>
          <t>Overdue</t>
        </is>
      </c>
    </row>
    <row r="32">
      <c r="A32" t="inlineStr">
        <is>
          <t>INV-0031</t>
        </is>
      </c>
      <c r="B32" t="inlineStr">
        <is>
          <t>2025-07-19</t>
        </is>
      </c>
      <c r="C32" t="inlineStr">
        <is>
          <t>2025-08-18</t>
        </is>
      </c>
      <c r="D32" t="inlineStr">
        <is>
          <t>V001</t>
        </is>
      </c>
      <c r="E32" t="inlineStr">
        <is>
          <t>ABC Office Supplies</t>
        </is>
      </c>
      <c r="F32" t="inlineStr">
        <is>
          <t>Office Supplies</t>
        </is>
      </c>
      <c r="G32" t="inlineStr">
        <is>
          <t>Administration</t>
        </is>
      </c>
      <c r="H32" t="inlineStr">
        <is>
          <t>Pens and stationery</t>
        </is>
      </c>
      <c r="I32" t="n">
        <v>14</v>
      </c>
      <c r="J32" s="3" t="n">
        <v>845.05</v>
      </c>
      <c r="K32" s="3" t="n">
        <v>11830.66</v>
      </c>
      <c r="L32" t="inlineStr">
        <is>
          <t>Overdue</t>
        </is>
      </c>
    </row>
    <row r="33">
      <c r="A33" t="inlineStr">
        <is>
          <t>INV-0032</t>
        </is>
      </c>
      <c r="B33" t="inlineStr">
        <is>
          <t>2025-12-05</t>
        </is>
      </c>
      <c r="C33" t="inlineStr">
        <is>
          <t>2026-01-19</t>
        </is>
      </c>
      <c r="D33" t="inlineStr">
        <is>
          <t>V009</t>
        </is>
      </c>
      <c r="E33" t="inlineStr">
        <is>
          <t>Prime Travel Services</t>
        </is>
      </c>
      <c r="F33" t="inlineStr">
        <is>
          <t>Travel</t>
        </is>
      </c>
      <c r="G33" t="inlineStr">
        <is>
          <t>Operations</t>
        </is>
      </c>
      <c r="H33" t="inlineStr">
        <is>
          <t>Flight booking</t>
        </is>
      </c>
      <c r="I33" t="n">
        <v>2</v>
      </c>
      <c r="J33" s="3" t="n">
        <v>1525.49</v>
      </c>
      <c r="K33" s="3" t="n">
        <v>3050.99</v>
      </c>
      <c r="L33" t="inlineStr">
        <is>
          <t>Paid</t>
        </is>
      </c>
      <c r="M33" t="inlineStr">
        <is>
          <t>2025-12-11</t>
        </is>
      </c>
      <c r="N33" t="inlineStr">
        <is>
          <t>Cheque</t>
        </is>
      </c>
    </row>
    <row r="34">
      <c r="A34" t="inlineStr">
        <is>
          <t>INV-0033</t>
        </is>
      </c>
      <c r="B34" t="inlineStr">
        <is>
          <t>2025-01-26</t>
        </is>
      </c>
      <c r="C34" t="inlineStr">
        <is>
          <t>2025-03-12</t>
        </is>
      </c>
      <c r="D34" t="inlineStr">
        <is>
          <t>V001</t>
        </is>
      </c>
      <c r="E34" t="inlineStr">
        <is>
          <t>ABC Office Supplies</t>
        </is>
      </c>
      <c r="F34" t="inlineStr">
        <is>
          <t>Office Supplies</t>
        </is>
      </c>
      <c r="G34" t="inlineStr">
        <is>
          <t>Administration</t>
        </is>
      </c>
      <c r="H34" t="inlineStr">
        <is>
          <t>Printer cartridges</t>
        </is>
      </c>
      <c r="I34" t="n">
        <v>6</v>
      </c>
      <c r="J34" s="3" t="n">
        <v>2301.83</v>
      </c>
      <c r="K34" s="3" t="n">
        <v>13810.96</v>
      </c>
      <c r="L34" t="inlineStr">
        <is>
          <t>Paid</t>
        </is>
      </c>
      <c r="M34" t="inlineStr">
        <is>
          <t>2025-02-01</t>
        </is>
      </c>
      <c r="N34" t="inlineStr">
        <is>
          <t>Bank Transfer</t>
        </is>
      </c>
    </row>
    <row r="35">
      <c r="A35" t="inlineStr">
        <is>
          <t>INV-0034</t>
        </is>
      </c>
      <c r="B35" t="inlineStr">
        <is>
          <t>2025-02-05</t>
        </is>
      </c>
      <c r="C35" t="inlineStr">
        <is>
          <t>2025-03-22</t>
        </is>
      </c>
      <c r="D35" t="inlineStr">
        <is>
          <t>V003</t>
        </is>
      </c>
      <c r="E35" t="inlineStr">
        <is>
          <t>CleanPro Services</t>
        </is>
      </c>
      <c r="F35" t="inlineStr">
        <is>
          <t>Facilities</t>
        </is>
      </c>
      <c r="G35" t="inlineStr">
        <is>
          <t>Facilities</t>
        </is>
      </c>
      <c r="H35" t="inlineStr">
        <is>
          <t>Maintenance</t>
        </is>
      </c>
      <c r="I35" t="n">
        <v>4</v>
      </c>
      <c r="J35" s="3" t="n">
        <v>3240.46</v>
      </c>
      <c r="K35" s="3" t="n">
        <v>12961.83</v>
      </c>
      <c r="L35" t="inlineStr">
        <is>
          <t>Paid</t>
        </is>
      </c>
      <c r="M35" t="inlineStr">
        <is>
          <t>2025-02-23</t>
        </is>
      </c>
      <c r="N35" t="inlineStr">
        <is>
          <t>Bank Transfer</t>
        </is>
      </c>
    </row>
    <row r="36">
      <c r="A36" t="inlineStr">
        <is>
          <t>INV-0035</t>
        </is>
      </c>
      <c r="B36" t="inlineStr">
        <is>
          <t>2025-02-11</t>
        </is>
      </c>
      <c r="C36" t="inlineStr">
        <is>
          <t>2025-03-13</t>
        </is>
      </c>
      <c r="D36" t="inlineStr">
        <is>
          <t>V010</t>
        </is>
      </c>
      <c r="E36" t="inlineStr">
        <is>
          <t>FreshBite Catering</t>
        </is>
      </c>
      <c r="F36" t="inlineStr">
        <is>
          <t>Office Supplies</t>
        </is>
      </c>
      <c r="G36" t="inlineStr">
        <is>
          <t>Administration</t>
        </is>
      </c>
      <c r="H36" t="inlineStr">
        <is>
          <t>Pens and stationery</t>
        </is>
      </c>
      <c r="I36" t="n">
        <v>9</v>
      </c>
      <c r="J36" s="3" t="n">
        <v>954.12</v>
      </c>
      <c r="K36" s="3" t="n">
        <v>8587.1</v>
      </c>
      <c r="L36" t="inlineStr">
        <is>
          <t>Pending</t>
        </is>
      </c>
    </row>
    <row r="37">
      <c r="A37" t="inlineStr">
        <is>
          <t>INV-0036</t>
        </is>
      </c>
      <c r="B37" t="inlineStr">
        <is>
          <t>2025-12-09</t>
        </is>
      </c>
      <c r="C37" t="inlineStr">
        <is>
          <t>2026-01-23</t>
        </is>
      </c>
      <c r="D37" t="inlineStr">
        <is>
          <t>V004</t>
        </is>
      </c>
      <c r="E37" t="inlineStr">
        <is>
          <t>Bright Marketing Co</t>
        </is>
      </c>
      <c r="F37" t="inlineStr">
        <is>
          <t>Marketing</t>
        </is>
      </c>
      <c r="G37" t="inlineStr">
        <is>
          <t>Marketing</t>
        </is>
      </c>
      <c r="H37" t="inlineStr">
        <is>
          <t>Digital advertising</t>
        </is>
      </c>
      <c r="I37" t="n">
        <v>10</v>
      </c>
      <c r="J37" s="3" t="n">
        <v>416.78</v>
      </c>
      <c r="K37" s="3" t="n">
        <v>4167.81</v>
      </c>
      <c r="L37" t="inlineStr">
        <is>
          <t>Paid</t>
        </is>
      </c>
      <c r="M37" t="inlineStr">
        <is>
          <t>2026-01-10</t>
        </is>
      </c>
      <c r="N37" t="inlineStr">
        <is>
          <t>Cheque</t>
        </is>
      </c>
    </row>
    <row r="38">
      <c r="A38" t="inlineStr">
        <is>
          <t>INV-0037</t>
        </is>
      </c>
      <c r="B38" t="inlineStr">
        <is>
          <t>2025-01-05</t>
        </is>
      </c>
      <c r="C38" t="inlineStr">
        <is>
          <t>2025-02-04</t>
        </is>
      </c>
      <c r="D38" t="inlineStr">
        <is>
          <t>V002</t>
        </is>
      </c>
      <c r="E38" t="inlineStr">
        <is>
          <t>Tech Solutions Ltd</t>
        </is>
      </c>
      <c r="F38" t="inlineStr">
        <is>
          <t>Software</t>
        </is>
      </c>
      <c r="G38" t="inlineStr">
        <is>
          <t>IT</t>
        </is>
      </c>
      <c r="H38" t="inlineStr">
        <is>
          <t>Software subscription</t>
        </is>
      </c>
      <c r="I38" t="n">
        <v>3</v>
      </c>
      <c r="J38" s="3" t="n">
        <v>2851.39</v>
      </c>
      <c r="K38" s="3" t="n">
        <v>8554.16</v>
      </c>
      <c r="L38" t="inlineStr">
        <is>
          <t>Pending</t>
        </is>
      </c>
    </row>
    <row r="39">
      <c r="A39" t="inlineStr">
        <is>
          <t>INV-0038</t>
        </is>
      </c>
      <c r="B39" t="inlineStr">
        <is>
          <t>2025-04-20</t>
        </is>
      </c>
      <c r="C39" t="inlineStr">
        <is>
          <t>2025-06-04</t>
        </is>
      </c>
      <c r="D39" t="inlineStr">
        <is>
          <t>V009</t>
        </is>
      </c>
      <c r="E39" t="inlineStr">
        <is>
          <t>Prime Travel Services</t>
        </is>
      </c>
      <c r="F39" t="inlineStr">
        <is>
          <t>Travel</t>
        </is>
      </c>
      <c r="G39" t="inlineStr">
        <is>
          <t>Operations</t>
        </is>
      </c>
      <c r="H39" t="inlineStr">
        <is>
          <t>Flight booking</t>
        </is>
      </c>
      <c r="I39" t="n">
        <v>8</v>
      </c>
      <c r="J39" s="3" t="n">
        <v>1751.95</v>
      </c>
      <c r="K39" s="3" t="n">
        <v>14015.58</v>
      </c>
      <c r="L39" t="inlineStr">
        <is>
          <t>Paid</t>
        </is>
      </c>
      <c r="M39" t="inlineStr">
        <is>
          <t>2025-05-16</t>
        </is>
      </c>
      <c r="N39" t="inlineStr">
        <is>
          <t>Cheque</t>
        </is>
      </c>
    </row>
    <row r="40">
      <c r="A40" t="inlineStr">
        <is>
          <t>INV-0039</t>
        </is>
      </c>
      <c r="B40" t="inlineStr">
        <is>
          <t>2025-08-13</t>
        </is>
      </c>
      <c r="C40" t="inlineStr">
        <is>
          <t>2025-09-27</t>
        </is>
      </c>
      <c r="D40" t="inlineStr">
        <is>
          <t>V003</t>
        </is>
      </c>
      <c r="E40" t="inlineStr">
        <is>
          <t>CleanPro Services</t>
        </is>
      </c>
      <c r="F40" t="inlineStr">
        <is>
          <t>Facilities</t>
        </is>
      </c>
      <c r="G40" t="inlineStr">
        <is>
          <t>Facilities</t>
        </is>
      </c>
      <c r="H40" t="inlineStr">
        <is>
          <t>Security service</t>
        </is>
      </c>
      <c r="I40" t="n">
        <v>17</v>
      </c>
      <c r="J40" s="3" t="n">
        <v>545.4299999999999</v>
      </c>
      <c r="K40" s="3" t="n">
        <v>9272.25</v>
      </c>
      <c r="L40" t="inlineStr">
        <is>
          <t>Pending</t>
        </is>
      </c>
    </row>
    <row r="41">
      <c r="A41" t="inlineStr">
        <is>
          <t>INV-0040</t>
        </is>
      </c>
      <c r="B41" t="inlineStr">
        <is>
          <t>2025-12-08</t>
        </is>
      </c>
      <c r="C41" t="inlineStr">
        <is>
          <t>2026-01-22</t>
        </is>
      </c>
      <c r="D41" t="inlineStr">
        <is>
          <t>V001</t>
        </is>
      </c>
      <c r="E41" t="inlineStr">
        <is>
          <t>ABC Office Supplies</t>
        </is>
      </c>
      <c r="F41" t="inlineStr">
        <is>
          <t>Office Supplies</t>
        </is>
      </c>
      <c r="G41" t="inlineStr">
        <is>
          <t>Administration</t>
        </is>
      </c>
      <c r="H41" t="inlineStr">
        <is>
          <t>Printer paper</t>
        </is>
      </c>
      <c r="I41" t="n">
        <v>9</v>
      </c>
      <c r="J41" s="3" t="n">
        <v>1115</v>
      </c>
      <c r="K41" s="3" t="n">
        <v>10034.98</v>
      </c>
      <c r="L41" t="inlineStr">
        <is>
          <t>Paid</t>
        </is>
      </c>
      <c r="M41" t="inlineStr">
        <is>
          <t>2025-12-18</t>
        </is>
      </c>
      <c r="N41" t="inlineStr">
        <is>
          <t>Bank Transfer</t>
        </is>
      </c>
    </row>
    <row r="42">
      <c r="A42" t="inlineStr">
        <is>
          <t>INV-0041</t>
        </is>
      </c>
      <c r="B42" t="inlineStr">
        <is>
          <t>2025-03-21</t>
        </is>
      </c>
      <c r="C42" t="inlineStr">
        <is>
          <t>2025-04-20</t>
        </is>
      </c>
      <c r="D42" t="inlineStr">
        <is>
          <t>V009</t>
        </is>
      </c>
      <c r="E42" t="inlineStr">
        <is>
          <t>Prime Travel Services</t>
        </is>
      </c>
      <c r="F42" t="inlineStr">
        <is>
          <t>Travel</t>
        </is>
      </c>
      <c r="G42" t="inlineStr">
        <is>
          <t>Operations</t>
        </is>
      </c>
      <c r="H42" t="inlineStr">
        <is>
          <t>Hotel accommodation</t>
        </is>
      </c>
      <c r="I42" t="n">
        <v>7</v>
      </c>
      <c r="J42" s="3" t="n">
        <v>479.54</v>
      </c>
      <c r="K42" s="3" t="n">
        <v>3356.79</v>
      </c>
      <c r="L42" t="inlineStr">
        <is>
          <t>Paid</t>
        </is>
      </c>
      <c r="M42" t="inlineStr">
        <is>
          <t>2025-04-09</t>
        </is>
      </c>
      <c r="N42" t="inlineStr">
        <is>
          <t>UPI</t>
        </is>
      </c>
    </row>
    <row r="43">
      <c r="A43" t="inlineStr">
        <is>
          <t>INV-0042</t>
        </is>
      </c>
      <c r="B43" t="inlineStr">
        <is>
          <t>2025-01-27</t>
        </is>
      </c>
      <c r="C43" t="inlineStr">
        <is>
          <t>2025-02-11</t>
        </is>
      </c>
      <c r="D43" t="inlineStr">
        <is>
          <t>V005</t>
        </is>
      </c>
      <c r="E43" t="inlineStr">
        <is>
          <t>Metro Logistics</t>
        </is>
      </c>
      <c r="F43" t="inlineStr">
        <is>
          <t>Logistics</t>
        </is>
      </c>
      <c r="G43" t="inlineStr">
        <is>
          <t>Operations</t>
        </is>
      </c>
      <c r="H43" t="inlineStr">
        <is>
          <t>Courier service</t>
        </is>
      </c>
      <c r="I43" t="n">
        <v>1</v>
      </c>
      <c r="J43" s="3" t="n">
        <v>12482.88</v>
      </c>
      <c r="K43" s="3" t="n">
        <v>12482.88</v>
      </c>
      <c r="L43" t="inlineStr">
        <is>
          <t>Pending</t>
        </is>
      </c>
    </row>
    <row r="44">
      <c r="A44" t="inlineStr">
        <is>
          <t>INV-0043</t>
        </is>
      </c>
      <c r="B44" t="inlineStr">
        <is>
          <t>2025-03-08</t>
        </is>
      </c>
      <c r="C44" t="inlineStr">
        <is>
          <t>2025-04-22</t>
        </is>
      </c>
      <c r="D44" t="inlineStr">
        <is>
          <t>V006</t>
        </is>
      </c>
      <c r="E44" t="inlineStr">
        <is>
          <t>PeopleFirst HR Services</t>
        </is>
      </c>
      <c r="F44" t="inlineStr">
        <is>
          <t>HR Services</t>
        </is>
      </c>
      <c r="G44" t="inlineStr">
        <is>
          <t>HR</t>
        </is>
      </c>
      <c r="H44" t="inlineStr">
        <is>
          <t>Training service</t>
        </is>
      </c>
      <c r="I44" t="n">
        <v>18</v>
      </c>
      <c r="J44" s="3" t="n">
        <v>146.3</v>
      </c>
      <c r="K44" s="3" t="n">
        <v>2633.33</v>
      </c>
      <c r="L44" t="inlineStr">
        <is>
          <t>Overdue</t>
        </is>
      </c>
    </row>
    <row r="45">
      <c r="A45" t="inlineStr">
        <is>
          <t>INV-0044</t>
        </is>
      </c>
      <c r="B45" t="inlineStr">
        <is>
          <t>2025-10-15</t>
        </is>
      </c>
      <c r="C45" t="inlineStr">
        <is>
          <t>2025-10-30</t>
        </is>
      </c>
      <c r="D45" t="inlineStr">
        <is>
          <t>V007</t>
        </is>
      </c>
      <c r="E45" t="inlineStr">
        <is>
          <t>SafeGuard Security</t>
        </is>
      </c>
      <c r="F45" t="inlineStr">
        <is>
          <t>Facilities</t>
        </is>
      </c>
      <c r="G45" t="inlineStr">
        <is>
          <t>Facilities</t>
        </is>
      </c>
      <c r="H45" t="inlineStr">
        <is>
          <t>Security service</t>
        </is>
      </c>
      <c r="I45" t="n">
        <v>5</v>
      </c>
      <c r="J45" s="3" t="n">
        <v>2837.9</v>
      </c>
      <c r="K45" s="3" t="n">
        <v>14189.5</v>
      </c>
      <c r="L45" t="inlineStr">
        <is>
          <t>Paid</t>
        </is>
      </c>
      <c r="M45" t="inlineStr">
        <is>
          <t>2025-10-20</t>
        </is>
      </c>
      <c r="N45" t="inlineStr">
        <is>
          <t>Cheque</t>
        </is>
      </c>
    </row>
    <row r="46">
      <c r="A46" t="inlineStr">
        <is>
          <t>INV-0045</t>
        </is>
      </c>
      <c r="B46" t="inlineStr">
        <is>
          <t>2025-10-10</t>
        </is>
      </c>
      <c r="C46" t="inlineStr">
        <is>
          <t>2025-10-25</t>
        </is>
      </c>
      <c r="D46" t="inlineStr">
        <is>
          <t>V010</t>
        </is>
      </c>
      <c r="E46" t="inlineStr">
        <is>
          <t>FreshBite Catering</t>
        </is>
      </c>
      <c r="F46" t="inlineStr">
        <is>
          <t>Office Supplies</t>
        </is>
      </c>
      <c r="G46" t="inlineStr">
        <is>
          <t>Administration</t>
        </is>
      </c>
      <c r="H46" t="inlineStr">
        <is>
          <t>Pens and stationery</t>
        </is>
      </c>
      <c r="I46" t="n">
        <v>2</v>
      </c>
      <c r="J46" s="3" t="n">
        <v>433.49</v>
      </c>
      <c r="K46" s="3" t="n">
        <v>866.98</v>
      </c>
      <c r="L46" t="inlineStr">
        <is>
          <t>Paid</t>
        </is>
      </c>
      <c r="M46" t="inlineStr">
        <is>
          <t>2025-11-04</t>
        </is>
      </c>
      <c r="N46" t="inlineStr">
        <is>
          <t>Credit Card</t>
        </is>
      </c>
    </row>
    <row r="47">
      <c r="A47" t="inlineStr">
        <is>
          <t>INV-0046</t>
        </is>
      </c>
      <c r="B47" t="inlineStr">
        <is>
          <t>2025-12-08</t>
        </is>
      </c>
      <c r="C47" t="inlineStr">
        <is>
          <t>2025-12-23</t>
        </is>
      </c>
      <c r="D47" t="inlineStr">
        <is>
          <t>V004</t>
        </is>
      </c>
      <c r="E47" t="inlineStr">
        <is>
          <t>Bright Marketing Co</t>
        </is>
      </c>
      <c r="F47" t="inlineStr">
        <is>
          <t>Marketing</t>
        </is>
      </c>
      <c r="G47" t="inlineStr">
        <is>
          <t>Marketing</t>
        </is>
      </c>
      <c r="H47" t="inlineStr">
        <is>
          <t>Printing and promotion</t>
        </is>
      </c>
      <c r="I47" t="n">
        <v>20</v>
      </c>
      <c r="J47" s="3" t="n">
        <v>425.41</v>
      </c>
      <c r="K47" s="3" t="n">
        <v>8508.280000000001</v>
      </c>
      <c r="L47" t="inlineStr">
        <is>
          <t>Paid</t>
        </is>
      </c>
      <c r="M47" t="inlineStr">
        <is>
          <t>2025-12-20</t>
        </is>
      </c>
      <c r="N47" t="inlineStr">
        <is>
          <t>Credit Card</t>
        </is>
      </c>
    </row>
    <row r="48">
      <c r="A48" t="inlineStr">
        <is>
          <t>INV-0047</t>
        </is>
      </c>
      <c r="B48" t="inlineStr">
        <is>
          <t>2025-04-01</t>
        </is>
      </c>
      <c r="C48" t="inlineStr">
        <is>
          <t>2025-05-01</t>
        </is>
      </c>
      <c r="D48" t="inlineStr">
        <is>
          <t>V003</t>
        </is>
      </c>
      <c r="E48" t="inlineStr">
        <is>
          <t>CleanPro Services</t>
        </is>
      </c>
      <c r="F48" t="inlineStr">
        <is>
          <t>Facilities</t>
        </is>
      </c>
      <c r="G48" t="inlineStr">
        <is>
          <t>Facilities</t>
        </is>
      </c>
      <c r="H48" t="inlineStr">
        <is>
          <t>Maintenance</t>
        </is>
      </c>
      <c r="I48" t="n">
        <v>14</v>
      </c>
      <c r="J48" s="3" t="n">
        <v>793.88</v>
      </c>
      <c r="K48" s="3" t="n">
        <v>11114.33</v>
      </c>
      <c r="L48" t="inlineStr">
        <is>
          <t>Paid</t>
        </is>
      </c>
      <c r="M48" t="inlineStr">
        <is>
          <t>2025-04-19</t>
        </is>
      </c>
      <c r="N48" t="inlineStr">
        <is>
          <t>Cheque</t>
        </is>
      </c>
    </row>
    <row r="49">
      <c r="A49" t="inlineStr">
        <is>
          <t>INV-0048</t>
        </is>
      </c>
      <c r="B49" t="inlineStr">
        <is>
          <t>2025-12-26</t>
        </is>
      </c>
      <c r="C49" t="inlineStr">
        <is>
          <t>2026-01-10</t>
        </is>
      </c>
      <c r="D49" t="inlineStr">
        <is>
          <t>V003</t>
        </is>
      </c>
      <c r="E49" t="inlineStr">
        <is>
          <t>CleanPro Services</t>
        </is>
      </c>
      <c r="F49" t="inlineStr">
        <is>
          <t>Facilities</t>
        </is>
      </c>
      <c r="G49" t="inlineStr">
        <is>
          <t>Facilities</t>
        </is>
      </c>
      <c r="H49" t="inlineStr">
        <is>
          <t>Maintenance</t>
        </is>
      </c>
      <c r="I49" t="n">
        <v>8</v>
      </c>
      <c r="J49" s="3" t="n">
        <v>102.65</v>
      </c>
      <c r="K49" s="3" t="n">
        <v>821.1900000000001</v>
      </c>
      <c r="L49" t="inlineStr">
        <is>
          <t>Paid</t>
        </is>
      </c>
      <c r="M49" t="inlineStr">
        <is>
          <t>2026-01-10</t>
        </is>
      </c>
      <c r="N49" t="inlineStr">
        <is>
          <t>UPI</t>
        </is>
      </c>
    </row>
    <row r="50">
      <c r="A50" t="inlineStr">
        <is>
          <t>INV-0049</t>
        </is>
      </c>
      <c r="B50" t="inlineStr">
        <is>
          <t>2025-06-06</t>
        </is>
      </c>
      <c r="C50" t="inlineStr">
        <is>
          <t>2025-06-21</t>
        </is>
      </c>
      <c r="D50" t="inlineStr">
        <is>
          <t>V006</t>
        </is>
      </c>
      <c r="E50" t="inlineStr">
        <is>
          <t>PeopleFirst HR Services</t>
        </is>
      </c>
      <c r="F50" t="inlineStr">
        <is>
          <t>HR Services</t>
        </is>
      </c>
      <c r="G50" t="inlineStr">
        <is>
          <t>HR</t>
        </is>
      </c>
      <c r="H50" t="inlineStr">
        <is>
          <t>Training service</t>
        </is>
      </c>
      <c r="I50" t="n">
        <v>11</v>
      </c>
      <c r="J50" s="3" t="n">
        <v>907.77</v>
      </c>
      <c r="K50" s="3" t="n">
        <v>9985.49</v>
      </c>
      <c r="L50" t="inlineStr">
        <is>
          <t>Paid</t>
        </is>
      </c>
      <c r="M50" t="inlineStr">
        <is>
          <t>2025-06-26</t>
        </is>
      </c>
      <c r="N50" t="inlineStr">
        <is>
          <t>Bank Transfer</t>
        </is>
      </c>
    </row>
    <row r="51">
      <c r="A51" t="inlineStr">
        <is>
          <t>INV-0050</t>
        </is>
      </c>
      <c r="B51" t="inlineStr">
        <is>
          <t>2025-06-29</t>
        </is>
      </c>
      <c r="C51" t="inlineStr">
        <is>
          <t>2025-08-13</t>
        </is>
      </c>
      <c r="D51" t="inlineStr">
        <is>
          <t>V005</t>
        </is>
      </c>
      <c r="E51" t="inlineStr">
        <is>
          <t>Metro Logistics</t>
        </is>
      </c>
      <c r="F51" t="inlineStr">
        <is>
          <t>Logistics</t>
        </is>
      </c>
      <c r="G51" t="inlineStr">
        <is>
          <t>Operations</t>
        </is>
      </c>
      <c r="H51" t="inlineStr">
        <is>
          <t>Delivery service</t>
        </is>
      </c>
      <c r="I51" t="n">
        <v>11</v>
      </c>
      <c r="J51" s="3" t="n">
        <v>933.9</v>
      </c>
      <c r="K51" s="3" t="n">
        <v>10272.89</v>
      </c>
      <c r="L51" t="inlineStr">
        <is>
          <t>Paid</t>
        </is>
      </c>
      <c r="M51" t="inlineStr">
        <is>
          <t>2025-07-03</t>
        </is>
      </c>
      <c r="N51" t="inlineStr">
        <is>
          <t>Bank Transfer</t>
        </is>
      </c>
    </row>
    <row r="52">
      <c r="A52" t="inlineStr">
        <is>
          <t>INV-0051</t>
        </is>
      </c>
      <c r="B52" t="inlineStr">
        <is>
          <t>2025-04-02</t>
        </is>
      </c>
      <c r="C52" t="inlineStr">
        <is>
          <t>2025-05-17</t>
        </is>
      </c>
      <c r="D52" t="inlineStr">
        <is>
          <t>V005</t>
        </is>
      </c>
      <c r="E52" t="inlineStr">
        <is>
          <t>Metro Logistics</t>
        </is>
      </c>
      <c r="F52" t="inlineStr">
        <is>
          <t>Logistics</t>
        </is>
      </c>
      <c r="G52" t="inlineStr">
        <is>
          <t>Operations</t>
        </is>
      </c>
      <c r="H52" t="inlineStr">
        <is>
          <t>Courier service</t>
        </is>
      </c>
      <c r="I52" t="n">
        <v>20</v>
      </c>
      <c r="J52" s="3" t="n">
        <v>208.28</v>
      </c>
      <c r="K52" s="3" t="n">
        <v>4165.63</v>
      </c>
      <c r="L52" t="inlineStr">
        <is>
          <t>Overdue</t>
        </is>
      </c>
    </row>
    <row r="53">
      <c r="A53" t="inlineStr">
        <is>
          <t>INV-0052</t>
        </is>
      </c>
      <c r="B53" t="inlineStr">
        <is>
          <t>2025-06-26</t>
        </is>
      </c>
      <c r="C53" t="inlineStr">
        <is>
          <t>2025-08-10</t>
        </is>
      </c>
      <c r="D53" t="inlineStr">
        <is>
          <t>V007</t>
        </is>
      </c>
      <c r="E53" t="inlineStr">
        <is>
          <t>SafeGuard Security</t>
        </is>
      </c>
      <c r="F53" t="inlineStr">
        <is>
          <t>Facilities</t>
        </is>
      </c>
      <c r="G53" t="inlineStr">
        <is>
          <t>Facilities</t>
        </is>
      </c>
      <c r="H53" t="inlineStr">
        <is>
          <t>Security service</t>
        </is>
      </c>
      <c r="I53" t="n">
        <v>4</v>
      </c>
      <c r="J53" s="3" t="n">
        <v>1671.7</v>
      </c>
      <c r="K53" s="3" t="n">
        <v>6686.81</v>
      </c>
      <c r="L53" t="inlineStr">
        <is>
          <t>Pending</t>
        </is>
      </c>
    </row>
    <row r="54">
      <c r="A54" t="inlineStr">
        <is>
          <t>INV-0053</t>
        </is>
      </c>
      <c r="B54" t="inlineStr">
        <is>
          <t>2025-10-23</t>
        </is>
      </c>
      <c r="C54" t="inlineStr">
        <is>
          <t>2025-11-07</t>
        </is>
      </c>
      <c r="D54" t="inlineStr">
        <is>
          <t>V007</t>
        </is>
      </c>
      <c r="E54" t="inlineStr">
        <is>
          <t>SafeGuard Security</t>
        </is>
      </c>
      <c r="F54" t="inlineStr">
        <is>
          <t>Facilities</t>
        </is>
      </c>
      <c r="G54" t="inlineStr">
        <is>
          <t>Facilities</t>
        </is>
      </c>
      <c r="H54" t="inlineStr">
        <is>
          <t>Cleaning service</t>
        </is>
      </c>
      <c r="I54" t="n">
        <v>17</v>
      </c>
      <c r="J54" s="3" t="n">
        <v>629.6799999999999</v>
      </c>
      <c r="K54" s="3" t="n">
        <v>10704.58</v>
      </c>
      <c r="L54" t="inlineStr">
        <is>
          <t>Paid</t>
        </is>
      </c>
      <c r="M54" t="inlineStr">
        <is>
          <t>2025-11-07</t>
        </is>
      </c>
      <c r="N54" t="inlineStr">
        <is>
          <t>Cheque</t>
        </is>
      </c>
    </row>
    <row r="55">
      <c r="A55" t="inlineStr">
        <is>
          <t>INV-0054</t>
        </is>
      </c>
      <c r="B55" t="inlineStr">
        <is>
          <t>2025-02-05</t>
        </is>
      </c>
      <c r="C55" t="inlineStr">
        <is>
          <t>2025-03-22</t>
        </is>
      </c>
      <c r="D55" t="inlineStr">
        <is>
          <t>V007</t>
        </is>
      </c>
      <c r="E55" t="inlineStr">
        <is>
          <t>SafeGuard Security</t>
        </is>
      </c>
      <c r="F55" t="inlineStr">
        <is>
          <t>Facilities</t>
        </is>
      </c>
      <c r="G55" t="inlineStr">
        <is>
          <t>Facilities</t>
        </is>
      </c>
      <c r="H55" t="inlineStr">
        <is>
          <t>Security service</t>
        </is>
      </c>
      <c r="I55" t="n">
        <v>4</v>
      </c>
      <c r="J55" s="3" t="n">
        <v>2360.39</v>
      </c>
      <c r="K55" s="3" t="n">
        <v>9441.540000000001</v>
      </c>
      <c r="L55" t="inlineStr">
        <is>
          <t>Overdue</t>
        </is>
      </c>
    </row>
    <row r="56">
      <c r="A56" t="inlineStr">
        <is>
          <t>INV-0055</t>
        </is>
      </c>
      <c r="B56" t="inlineStr">
        <is>
          <t>2025-09-17</t>
        </is>
      </c>
      <c r="C56" t="inlineStr">
        <is>
          <t>2025-10-17</t>
        </is>
      </c>
      <c r="D56" t="inlineStr">
        <is>
          <t>V005</t>
        </is>
      </c>
      <c r="E56" t="inlineStr">
        <is>
          <t>Metro Logistics</t>
        </is>
      </c>
      <c r="F56" t="inlineStr">
        <is>
          <t>Logistics</t>
        </is>
      </c>
      <c r="G56" t="inlineStr">
        <is>
          <t>Operations</t>
        </is>
      </c>
      <c r="H56" t="inlineStr">
        <is>
          <t>Delivery service</t>
        </is>
      </c>
      <c r="I56" t="n">
        <v>10</v>
      </c>
      <c r="J56" s="3" t="n">
        <v>506.12</v>
      </c>
      <c r="K56" s="3" t="n">
        <v>5061.2</v>
      </c>
      <c r="L56" t="inlineStr">
        <is>
          <t>Pending</t>
        </is>
      </c>
    </row>
    <row r="57">
      <c r="A57" t="inlineStr">
        <is>
          <t>INV-0056</t>
        </is>
      </c>
      <c r="B57" t="inlineStr">
        <is>
          <t>2025-03-07</t>
        </is>
      </c>
      <c r="C57" t="inlineStr">
        <is>
          <t>2025-03-22</t>
        </is>
      </c>
      <c r="D57" t="inlineStr">
        <is>
          <t>V009</t>
        </is>
      </c>
      <c r="E57" t="inlineStr">
        <is>
          <t>Prime Travel Services</t>
        </is>
      </c>
      <c r="F57" t="inlineStr">
        <is>
          <t>Travel</t>
        </is>
      </c>
      <c r="G57" t="inlineStr">
        <is>
          <t>Operations</t>
        </is>
      </c>
      <c r="H57" t="inlineStr">
        <is>
          <t>Travel expenses</t>
        </is>
      </c>
      <c r="I57" t="n">
        <v>6</v>
      </c>
      <c r="J57" s="3" t="n">
        <v>2353.39</v>
      </c>
      <c r="K57" s="3" t="n">
        <v>14120.36</v>
      </c>
      <c r="L57" t="inlineStr">
        <is>
          <t>Paid</t>
        </is>
      </c>
      <c r="M57" t="inlineStr">
        <is>
          <t>2025-03-29</t>
        </is>
      </c>
      <c r="N57" t="inlineStr">
        <is>
          <t>UPI</t>
        </is>
      </c>
    </row>
    <row r="58">
      <c r="A58" t="inlineStr">
        <is>
          <t>INV-0057</t>
        </is>
      </c>
      <c r="B58" t="inlineStr">
        <is>
          <t>2025-01-01</t>
        </is>
      </c>
      <c r="C58" t="inlineStr">
        <is>
          <t>2025-01-31</t>
        </is>
      </c>
      <c r="D58" t="inlineStr">
        <is>
          <t>V009</t>
        </is>
      </c>
      <c r="E58" t="inlineStr">
        <is>
          <t>Prime Travel Services</t>
        </is>
      </c>
      <c r="F58" t="inlineStr">
        <is>
          <t>Travel</t>
        </is>
      </c>
      <c r="G58" t="inlineStr">
        <is>
          <t>Operations</t>
        </is>
      </c>
      <c r="H58" t="inlineStr">
        <is>
          <t>Travel expenses</t>
        </is>
      </c>
      <c r="I58" t="n">
        <v>20</v>
      </c>
      <c r="J58" s="3" t="n">
        <v>329.54</v>
      </c>
      <c r="K58" s="3" t="n">
        <v>6590.85</v>
      </c>
      <c r="L58" t="inlineStr">
        <is>
          <t>Paid</t>
        </is>
      </c>
      <c r="M58" t="inlineStr">
        <is>
          <t>2025-01-24</t>
        </is>
      </c>
      <c r="N58" t="inlineStr">
        <is>
          <t>UPI</t>
        </is>
      </c>
    </row>
    <row r="59">
      <c r="A59" t="inlineStr">
        <is>
          <t>INV-0058</t>
        </is>
      </c>
      <c r="B59" t="inlineStr">
        <is>
          <t>2025-08-15</t>
        </is>
      </c>
      <c r="C59" t="inlineStr">
        <is>
          <t>2025-09-29</t>
        </is>
      </c>
      <c r="D59" t="inlineStr">
        <is>
          <t>V008</t>
        </is>
      </c>
      <c r="E59" t="inlineStr">
        <is>
          <t>CloudWorks Software</t>
        </is>
      </c>
      <c r="F59" t="inlineStr">
        <is>
          <t>Software</t>
        </is>
      </c>
      <c r="G59" t="inlineStr">
        <is>
          <t>IT</t>
        </is>
      </c>
      <c r="H59" t="inlineStr">
        <is>
          <t>Business application</t>
        </is>
      </c>
      <c r="I59" t="n">
        <v>6</v>
      </c>
      <c r="J59" s="3" t="n">
        <v>1204.92</v>
      </c>
      <c r="K59" s="3" t="n">
        <v>7229.5</v>
      </c>
      <c r="L59" t="inlineStr">
        <is>
          <t>Paid</t>
        </is>
      </c>
      <c r="M59" t="inlineStr">
        <is>
          <t>2025-08-23</t>
        </is>
      </c>
      <c r="N59" t="inlineStr">
        <is>
          <t>Cheque</t>
        </is>
      </c>
    </row>
    <row r="60">
      <c r="A60" t="inlineStr">
        <is>
          <t>INV-0059</t>
        </is>
      </c>
      <c r="B60" t="inlineStr">
        <is>
          <t>2025-12-06</t>
        </is>
      </c>
      <c r="C60" t="inlineStr">
        <is>
          <t>2026-01-20</t>
        </is>
      </c>
      <c r="D60" t="inlineStr">
        <is>
          <t>V009</t>
        </is>
      </c>
      <c r="E60" t="inlineStr">
        <is>
          <t>Prime Travel Services</t>
        </is>
      </c>
      <c r="F60" t="inlineStr">
        <is>
          <t>Travel</t>
        </is>
      </c>
      <c r="G60" t="inlineStr">
        <is>
          <t>Operations</t>
        </is>
      </c>
      <c r="H60" t="inlineStr">
        <is>
          <t>Flight booking</t>
        </is>
      </c>
      <c r="I60" t="n">
        <v>10</v>
      </c>
      <c r="J60" s="3" t="n">
        <v>162.75</v>
      </c>
      <c r="K60" s="3" t="n">
        <v>1627.46</v>
      </c>
      <c r="L60" t="inlineStr">
        <is>
          <t>Pending</t>
        </is>
      </c>
    </row>
    <row r="61">
      <c r="A61" t="inlineStr">
        <is>
          <t>INV-0060</t>
        </is>
      </c>
      <c r="B61" t="inlineStr">
        <is>
          <t>2025-04-12</t>
        </is>
      </c>
      <c r="C61" t="inlineStr">
        <is>
          <t>2025-04-27</t>
        </is>
      </c>
      <c r="D61" t="inlineStr">
        <is>
          <t>V004</t>
        </is>
      </c>
      <c r="E61" t="inlineStr">
        <is>
          <t>Bright Marketing Co</t>
        </is>
      </c>
      <c r="F61" t="inlineStr">
        <is>
          <t>Marketing</t>
        </is>
      </c>
      <c r="G61" t="inlineStr">
        <is>
          <t>Marketing</t>
        </is>
      </c>
      <c r="H61" t="inlineStr">
        <is>
          <t>Printing and promotion</t>
        </is>
      </c>
      <c r="I61" t="n">
        <v>20</v>
      </c>
      <c r="J61" s="3" t="n">
        <v>193.07</v>
      </c>
      <c r="K61" s="3" t="n">
        <v>3861.43</v>
      </c>
      <c r="L61" t="inlineStr">
        <is>
          <t>Paid</t>
        </is>
      </c>
      <c r="M61" t="inlineStr">
        <is>
          <t>2025-04-19</t>
        </is>
      </c>
      <c r="N61" t="inlineStr">
        <is>
          <t>UPI</t>
        </is>
      </c>
    </row>
    <row r="62">
      <c r="A62" t="inlineStr">
        <is>
          <t>INV-0061</t>
        </is>
      </c>
      <c r="B62" t="inlineStr">
        <is>
          <t>2025-11-19</t>
        </is>
      </c>
      <c r="C62" t="inlineStr">
        <is>
          <t>2026-01-03</t>
        </is>
      </c>
      <c r="D62" t="inlineStr">
        <is>
          <t>V007</t>
        </is>
      </c>
      <c r="E62" t="inlineStr">
        <is>
          <t>SafeGuard Security</t>
        </is>
      </c>
      <c r="F62" t="inlineStr">
        <is>
          <t>Facilities</t>
        </is>
      </c>
      <c r="G62" t="inlineStr">
        <is>
          <t>Facilities</t>
        </is>
      </c>
      <c r="H62" t="inlineStr">
        <is>
          <t>Maintenance</t>
        </is>
      </c>
      <c r="I62" t="n">
        <v>13</v>
      </c>
      <c r="J62" s="3" t="n">
        <v>809.33</v>
      </c>
      <c r="K62" s="3" t="n">
        <v>10521.23</v>
      </c>
      <c r="L62" t="inlineStr">
        <is>
          <t>Paid</t>
        </is>
      </c>
      <c r="M62" t="inlineStr">
        <is>
          <t>2025-12-07</t>
        </is>
      </c>
      <c r="N62" t="inlineStr">
        <is>
          <t>Credit Card</t>
        </is>
      </c>
    </row>
    <row r="63">
      <c r="A63" t="inlineStr">
        <is>
          <t>INV-0062</t>
        </is>
      </c>
      <c r="B63" t="inlineStr">
        <is>
          <t>2025-02-24</t>
        </is>
      </c>
      <c r="C63" t="inlineStr">
        <is>
          <t>2025-03-26</t>
        </is>
      </c>
      <c r="D63" t="inlineStr">
        <is>
          <t>V001</t>
        </is>
      </c>
      <c r="E63" t="inlineStr">
        <is>
          <t>ABC Office Supplies</t>
        </is>
      </c>
      <c r="F63" t="inlineStr">
        <is>
          <t>Office Supplies</t>
        </is>
      </c>
      <c r="G63" t="inlineStr">
        <is>
          <t>Administration</t>
        </is>
      </c>
      <c r="H63" t="inlineStr">
        <is>
          <t>Printer cartridges</t>
        </is>
      </c>
      <c r="I63" t="n">
        <v>17</v>
      </c>
      <c r="J63" s="3" t="n">
        <v>712.39</v>
      </c>
      <c r="K63" s="3" t="n">
        <v>12110.62</v>
      </c>
      <c r="L63" t="inlineStr">
        <is>
          <t>Paid</t>
        </is>
      </c>
      <c r="M63" t="inlineStr">
        <is>
          <t>2025-03-28</t>
        </is>
      </c>
      <c r="N63" t="inlineStr">
        <is>
          <t>Bank Transfer</t>
        </is>
      </c>
    </row>
    <row r="64">
      <c r="A64" t="inlineStr">
        <is>
          <t>INV-0063</t>
        </is>
      </c>
      <c r="B64" t="inlineStr">
        <is>
          <t>2025-05-08</t>
        </is>
      </c>
      <c r="C64" t="inlineStr">
        <is>
          <t>2025-05-23</t>
        </is>
      </c>
      <c r="D64" t="inlineStr">
        <is>
          <t>V009</t>
        </is>
      </c>
      <c r="E64" t="inlineStr">
        <is>
          <t>Prime Travel Services</t>
        </is>
      </c>
      <c r="F64" t="inlineStr">
        <is>
          <t>Travel</t>
        </is>
      </c>
      <c r="G64" t="inlineStr">
        <is>
          <t>Operations</t>
        </is>
      </c>
      <c r="H64" t="inlineStr">
        <is>
          <t>Travel expenses</t>
        </is>
      </c>
      <c r="I64" t="n">
        <v>17</v>
      </c>
      <c r="J64" s="3" t="n">
        <v>710.05</v>
      </c>
      <c r="K64" s="3" t="n">
        <v>12070.89</v>
      </c>
      <c r="L64" t="inlineStr">
        <is>
          <t>Paid</t>
        </is>
      </c>
      <c r="M64" t="inlineStr">
        <is>
          <t>2025-05-31</t>
        </is>
      </c>
      <c r="N64" t="inlineStr">
        <is>
          <t>UPI</t>
        </is>
      </c>
    </row>
    <row r="65">
      <c r="A65" t="inlineStr">
        <is>
          <t>INV-0064</t>
        </is>
      </c>
      <c r="B65" t="inlineStr">
        <is>
          <t>2025-09-16</t>
        </is>
      </c>
      <c r="C65" t="inlineStr">
        <is>
          <t>2025-10-16</t>
        </is>
      </c>
      <c r="D65" t="inlineStr">
        <is>
          <t>V010</t>
        </is>
      </c>
      <c r="E65" t="inlineStr">
        <is>
          <t>FreshBite Catering</t>
        </is>
      </c>
      <c r="F65" t="inlineStr">
        <is>
          <t>Office Supplies</t>
        </is>
      </c>
      <c r="G65" t="inlineStr">
        <is>
          <t>Administration</t>
        </is>
      </c>
      <c r="H65" t="inlineStr">
        <is>
          <t>Printer paper</t>
        </is>
      </c>
      <c r="I65" t="n">
        <v>16</v>
      </c>
      <c r="J65" s="3" t="n">
        <v>520.6900000000001</v>
      </c>
      <c r="K65" s="3" t="n">
        <v>8331.110000000001</v>
      </c>
      <c r="L65" t="inlineStr">
        <is>
          <t>Pending</t>
        </is>
      </c>
    </row>
    <row r="66">
      <c r="A66" t="inlineStr">
        <is>
          <t>INV-0065</t>
        </is>
      </c>
      <c r="B66" t="inlineStr">
        <is>
          <t>2025-05-13</t>
        </is>
      </c>
      <c r="C66" t="inlineStr">
        <is>
          <t>2025-05-28</t>
        </is>
      </c>
      <c r="D66" t="inlineStr">
        <is>
          <t>V008</t>
        </is>
      </c>
      <c r="E66" t="inlineStr">
        <is>
          <t>CloudWorks Software</t>
        </is>
      </c>
      <c r="F66" t="inlineStr">
        <is>
          <t>Software</t>
        </is>
      </c>
      <c r="G66" t="inlineStr">
        <is>
          <t>IT</t>
        </is>
      </c>
      <c r="H66" t="inlineStr">
        <is>
          <t>Business application</t>
        </is>
      </c>
      <c r="I66" t="n">
        <v>16</v>
      </c>
      <c r="J66" s="3" t="n">
        <v>271.27</v>
      </c>
      <c r="K66" s="3" t="n">
        <v>4340.34</v>
      </c>
      <c r="L66" t="inlineStr">
        <is>
          <t>Pending</t>
        </is>
      </c>
    </row>
    <row r="67">
      <c r="A67" t="inlineStr">
        <is>
          <t>INV-0066</t>
        </is>
      </c>
      <c r="B67" t="inlineStr">
        <is>
          <t>2025-05-21</t>
        </is>
      </c>
      <c r="C67" t="inlineStr">
        <is>
          <t>2025-06-20</t>
        </is>
      </c>
      <c r="D67" t="inlineStr">
        <is>
          <t>V004</t>
        </is>
      </c>
      <c r="E67" t="inlineStr">
        <is>
          <t>Bright Marketing Co</t>
        </is>
      </c>
      <c r="F67" t="inlineStr">
        <is>
          <t>Marketing</t>
        </is>
      </c>
      <c r="G67" t="inlineStr">
        <is>
          <t>Marketing</t>
        </is>
      </c>
      <c r="H67" t="inlineStr">
        <is>
          <t>Printing and promotion</t>
        </is>
      </c>
      <c r="I67" t="n">
        <v>11</v>
      </c>
      <c r="J67" s="3" t="n">
        <v>405.86</v>
      </c>
      <c r="K67" s="3" t="n">
        <v>4464.49</v>
      </c>
      <c r="L67" t="inlineStr">
        <is>
          <t>Paid</t>
        </is>
      </c>
      <c r="M67" t="inlineStr">
        <is>
          <t>2025-06-13</t>
        </is>
      </c>
      <c r="N67" t="inlineStr">
        <is>
          <t>Bank Transfer</t>
        </is>
      </c>
    </row>
    <row r="68">
      <c r="A68" t="inlineStr">
        <is>
          <t>INV-0067</t>
        </is>
      </c>
      <c r="B68" t="inlineStr">
        <is>
          <t>2025-03-19</t>
        </is>
      </c>
      <c r="C68" t="inlineStr">
        <is>
          <t>2025-04-03</t>
        </is>
      </c>
      <c r="D68" t="inlineStr">
        <is>
          <t>V003</t>
        </is>
      </c>
      <c r="E68" t="inlineStr">
        <is>
          <t>CleanPro Services</t>
        </is>
      </c>
      <c r="F68" t="inlineStr">
        <is>
          <t>Facilities</t>
        </is>
      </c>
      <c r="G68" t="inlineStr">
        <is>
          <t>Facilities</t>
        </is>
      </c>
      <c r="H68" t="inlineStr">
        <is>
          <t>Cleaning service</t>
        </is>
      </c>
      <c r="I68" t="n">
        <v>3</v>
      </c>
      <c r="J68" s="3" t="n">
        <v>834.63</v>
      </c>
      <c r="K68" s="3" t="n">
        <v>2503.88</v>
      </c>
      <c r="L68" t="inlineStr">
        <is>
          <t>Paid</t>
        </is>
      </c>
      <c r="M68" t="inlineStr">
        <is>
          <t>2025-04-17</t>
        </is>
      </c>
      <c r="N68" t="inlineStr">
        <is>
          <t>UPI</t>
        </is>
      </c>
    </row>
    <row r="69">
      <c r="A69" t="inlineStr">
        <is>
          <t>INV-0068</t>
        </is>
      </c>
      <c r="B69" t="inlineStr">
        <is>
          <t>2025-10-05</t>
        </is>
      </c>
      <c r="C69" t="inlineStr">
        <is>
          <t>2025-11-04</t>
        </is>
      </c>
      <c r="D69" t="inlineStr">
        <is>
          <t>V006</t>
        </is>
      </c>
      <c r="E69" t="inlineStr">
        <is>
          <t>PeopleFirst HR Services</t>
        </is>
      </c>
      <c r="F69" t="inlineStr">
        <is>
          <t>HR Services</t>
        </is>
      </c>
      <c r="G69" t="inlineStr">
        <is>
          <t>HR</t>
        </is>
      </c>
      <c r="H69" t="inlineStr">
        <is>
          <t>Training service</t>
        </is>
      </c>
      <c r="I69" t="n">
        <v>13</v>
      </c>
      <c r="J69" s="3" t="n">
        <v>253.91</v>
      </c>
      <c r="K69" s="3" t="n">
        <v>3300.81</v>
      </c>
      <c r="L69" t="inlineStr">
        <is>
          <t>Paid</t>
        </is>
      </c>
      <c r="M69" t="inlineStr">
        <is>
          <t>2025-10-09</t>
        </is>
      </c>
      <c r="N69" t="inlineStr">
        <is>
          <t>UPI</t>
        </is>
      </c>
    </row>
    <row r="70">
      <c r="A70" t="inlineStr">
        <is>
          <t>INV-0069</t>
        </is>
      </c>
      <c r="B70" t="inlineStr">
        <is>
          <t>2025-01-04</t>
        </is>
      </c>
      <c r="C70" t="inlineStr">
        <is>
          <t>2025-02-03</t>
        </is>
      </c>
      <c r="D70" t="inlineStr">
        <is>
          <t>V008</t>
        </is>
      </c>
      <c r="E70" t="inlineStr">
        <is>
          <t>CloudWorks Software</t>
        </is>
      </c>
      <c r="F70" t="inlineStr">
        <is>
          <t>Software</t>
        </is>
      </c>
      <c r="G70" t="inlineStr">
        <is>
          <t>IT</t>
        </is>
      </c>
      <c r="H70" t="inlineStr">
        <is>
          <t>Cloud storage</t>
        </is>
      </c>
      <c r="I70" t="n">
        <v>18</v>
      </c>
      <c r="J70" s="3" t="n">
        <v>333.46</v>
      </c>
      <c r="K70" s="3" t="n">
        <v>6002.3</v>
      </c>
      <c r="L70" t="inlineStr">
        <is>
          <t>Paid</t>
        </is>
      </c>
      <c r="M70" t="inlineStr">
        <is>
          <t>2025-01-21</t>
        </is>
      </c>
      <c r="N70" t="inlineStr">
        <is>
          <t>UPI</t>
        </is>
      </c>
    </row>
    <row r="71">
      <c r="A71" t="inlineStr">
        <is>
          <t>INV-0070</t>
        </is>
      </c>
      <c r="B71" t="inlineStr">
        <is>
          <t>2025-05-20</t>
        </is>
      </c>
      <c r="C71" t="inlineStr">
        <is>
          <t>2025-06-19</t>
        </is>
      </c>
      <c r="D71" t="inlineStr">
        <is>
          <t>V004</t>
        </is>
      </c>
      <c r="E71" t="inlineStr">
        <is>
          <t>Bright Marketing Co</t>
        </is>
      </c>
      <c r="F71" t="inlineStr">
        <is>
          <t>Marketing</t>
        </is>
      </c>
      <c r="G71" t="inlineStr">
        <is>
          <t>Marketing</t>
        </is>
      </c>
      <c r="H71" t="inlineStr">
        <is>
          <t>Marketing services</t>
        </is>
      </c>
      <c r="I71" t="n">
        <v>13</v>
      </c>
      <c r="J71" s="3" t="n">
        <v>460.43</v>
      </c>
      <c r="K71" s="3" t="n">
        <v>5985.64</v>
      </c>
      <c r="L71" t="inlineStr">
        <is>
          <t>Paid</t>
        </is>
      </c>
      <c r="M71" t="inlineStr">
        <is>
          <t>2025-06-02</t>
        </is>
      </c>
      <c r="N71" t="inlineStr">
        <is>
          <t>UPI</t>
        </is>
      </c>
    </row>
    <row r="72">
      <c r="A72" t="inlineStr">
        <is>
          <t>INV-0071</t>
        </is>
      </c>
      <c r="B72" t="inlineStr">
        <is>
          <t>2025-11-15</t>
        </is>
      </c>
      <c r="C72" t="inlineStr">
        <is>
          <t>2025-12-30</t>
        </is>
      </c>
      <c r="D72" t="inlineStr">
        <is>
          <t>V003</t>
        </is>
      </c>
      <c r="E72" t="inlineStr">
        <is>
          <t>CleanPro Services</t>
        </is>
      </c>
      <c r="F72" t="inlineStr">
        <is>
          <t>Facilities</t>
        </is>
      </c>
      <c r="G72" t="inlineStr">
        <is>
          <t>Facilities</t>
        </is>
      </c>
      <c r="H72" t="inlineStr">
        <is>
          <t>Security service</t>
        </is>
      </c>
      <c r="I72" t="n">
        <v>1</v>
      </c>
      <c r="J72" s="3" t="n">
        <v>6061.8</v>
      </c>
      <c r="K72" s="3" t="n">
        <v>6061.8</v>
      </c>
      <c r="L72" t="inlineStr">
        <is>
          <t>Paid</t>
        </is>
      </c>
      <c r="M72" t="inlineStr">
        <is>
          <t>2025-11-23</t>
        </is>
      </c>
      <c r="N72" t="inlineStr">
        <is>
          <t>UPI</t>
        </is>
      </c>
    </row>
    <row r="73">
      <c r="A73" t="inlineStr">
        <is>
          <t>INV-0072</t>
        </is>
      </c>
      <c r="B73" t="inlineStr">
        <is>
          <t>2025-08-25</t>
        </is>
      </c>
      <c r="C73" t="inlineStr">
        <is>
          <t>2025-09-09</t>
        </is>
      </c>
      <c r="D73" t="inlineStr">
        <is>
          <t>V003</t>
        </is>
      </c>
      <c r="E73" t="inlineStr">
        <is>
          <t>CleanPro Services</t>
        </is>
      </c>
      <c r="F73" t="inlineStr">
        <is>
          <t>Facilities</t>
        </is>
      </c>
      <c r="G73" t="inlineStr">
        <is>
          <t>Facilities</t>
        </is>
      </c>
      <c r="H73" t="inlineStr">
        <is>
          <t>Cleaning service</t>
        </is>
      </c>
      <c r="I73" t="n">
        <v>15</v>
      </c>
      <c r="J73" s="3" t="n">
        <v>389.45</v>
      </c>
      <c r="K73" s="3" t="n">
        <v>5841.78</v>
      </c>
      <c r="L73" t="inlineStr">
        <is>
          <t>Paid</t>
        </is>
      </c>
      <c r="M73" t="inlineStr">
        <is>
          <t>2025-09-17</t>
        </is>
      </c>
      <c r="N73" t="inlineStr">
        <is>
          <t>Cheque</t>
        </is>
      </c>
    </row>
    <row r="74">
      <c r="A74" t="inlineStr">
        <is>
          <t>INV-0073</t>
        </is>
      </c>
      <c r="B74" t="inlineStr">
        <is>
          <t>2025-05-23</t>
        </is>
      </c>
      <c r="C74" t="inlineStr">
        <is>
          <t>2025-06-22</t>
        </is>
      </c>
      <c r="D74" t="inlineStr">
        <is>
          <t>V007</t>
        </is>
      </c>
      <c r="E74" t="inlineStr">
        <is>
          <t>SafeGuard Security</t>
        </is>
      </c>
      <c r="F74" t="inlineStr">
        <is>
          <t>Facilities</t>
        </is>
      </c>
      <c r="G74" t="inlineStr">
        <is>
          <t>Facilities</t>
        </is>
      </c>
      <c r="H74" t="inlineStr">
        <is>
          <t>Cleaning service</t>
        </is>
      </c>
      <c r="I74" t="n">
        <v>18</v>
      </c>
      <c r="J74" s="3" t="n">
        <v>81.01000000000001</v>
      </c>
      <c r="K74" s="3" t="n">
        <v>1458.12</v>
      </c>
      <c r="L74" t="inlineStr">
        <is>
          <t>Paid</t>
        </is>
      </c>
      <c r="M74" t="inlineStr">
        <is>
          <t>2025-05-29</t>
        </is>
      </c>
      <c r="N74" t="inlineStr">
        <is>
          <t>Cheque</t>
        </is>
      </c>
    </row>
    <row r="75">
      <c r="A75" t="inlineStr">
        <is>
          <t>INV-0074</t>
        </is>
      </c>
      <c r="B75" t="inlineStr">
        <is>
          <t>2025-11-29</t>
        </is>
      </c>
      <c r="C75" t="inlineStr">
        <is>
          <t>2025-12-14</t>
        </is>
      </c>
      <c r="D75" t="inlineStr">
        <is>
          <t>V004</t>
        </is>
      </c>
      <c r="E75" t="inlineStr">
        <is>
          <t>Bright Marketing Co</t>
        </is>
      </c>
      <c r="F75" t="inlineStr">
        <is>
          <t>Marketing</t>
        </is>
      </c>
      <c r="G75" t="inlineStr">
        <is>
          <t>Marketing</t>
        </is>
      </c>
      <c r="H75" t="inlineStr">
        <is>
          <t>Digital advertising</t>
        </is>
      </c>
      <c r="I75" t="n">
        <v>8</v>
      </c>
      <c r="J75" s="3" t="n">
        <v>1232.92</v>
      </c>
      <c r="K75" s="3" t="n">
        <v>9863.379999999999</v>
      </c>
      <c r="L75" t="inlineStr">
        <is>
          <t>Pending</t>
        </is>
      </c>
    </row>
    <row r="76">
      <c r="A76" t="inlineStr">
        <is>
          <t>INV-0075</t>
        </is>
      </c>
      <c r="B76" t="inlineStr">
        <is>
          <t>2025-01-11</t>
        </is>
      </c>
      <c r="C76" t="inlineStr">
        <is>
          <t>2025-02-25</t>
        </is>
      </c>
      <c r="D76" t="inlineStr">
        <is>
          <t>V004</t>
        </is>
      </c>
      <c r="E76" t="inlineStr">
        <is>
          <t>Bright Marketing Co</t>
        </is>
      </c>
      <c r="F76" t="inlineStr">
        <is>
          <t>Marketing</t>
        </is>
      </c>
      <c r="G76" t="inlineStr">
        <is>
          <t>Marketing</t>
        </is>
      </c>
      <c r="H76" t="inlineStr">
        <is>
          <t>Marketing services</t>
        </is>
      </c>
      <c r="I76" t="n">
        <v>4</v>
      </c>
      <c r="J76" s="3" t="n">
        <v>527.9400000000001</v>
      </c>
      <c r="K76" s="3" t="n">
        <v>2111.76</v>
      </c>
      <c r="L76" t="inlineStr">
        <is>
          <t>Paid</t>
        </is>
      </c>
      <c r="M76" t="inlineStr">
        <is>
          <t>2025-01-27</t>
        </is>
      </c>
      <c r="N76" t="inlineStr">
        <is>
          <t>UPI</t>
        </is>
      </c>
    </row>
    <row r="77">
      <c r="A77" t="inlineStr">
        <is>
          <t>INV-0076</t>
        </is>
      </c>
      <c r="B77" t="inlineStr">
        <is>
          <t>2025-07-08</t>
        </is>
      </c>
      <c r="C77" t="inlineStr">
        <is>
          <t>2025-07-23</t>
        </is>
      </c>
      <c r="D77" t="inlineStr">
        <is>
          <t>V005</t>
        </is>
      </c>
      <c r="E77" t="inlineStr">
        <is>
          <t>Metro Logistics</t>
        </is>
      </c>
      <c r="F77" t="inlineStr">
        <is>
          <t>Logistics</t>
        </is>
      </c>
      <c r="G77" t="inlineStr">
        <is>
          <t>Operations</t>
        </is>
      </c>
      <c r="H77" t="inlineStr">
        <is>
          <t>Delivery service</t>
        </is>
      </c>
      <c r="I77" t="n">
        <v>4</v>
      </c>
      <c r="J77" s="3" t="n">
        <v>3616.27</v>
      </c>
      <c r="K77" s="3" t="n">
        <v>14465.09</v>
      </c>
      <c r="L77" t="inlineStr">
        <is>
          <t>Pending</t>
        </is>
      </c>
    </row>
    <row r="78">
      <c r="A78" t="inlineStr">
        <is>
          <t>INV-0077</t>
        </is>
      </c>
      <c r="B78" t="inlineStr">
        <is>
          <t>2025-06-09</t>
        </is>
      </c>
      <c r="C78" t="inlineStr">
        <is>
          <t>2025-06-24</t>
        </is>
      </c>
      <c r="D78" t="inlineStr">
        <is>
          <t>V003</t>
        </is>
      </c>
      <c r="E78" t="inlineStr">
        <is>
          <t>CleanPro Services</t>
        </is>
      </c>
      <c r="F78" t="inlineStr">
        <is>
          <t>Facilities</t>
        </is>
      </c>
      <c r="G78" t="inlineStr">
        <is>
          <t>Facilities</t>
        </is>
      </c>
      <c r="H78" t="inlineStr">
        <is>
          <t>Security service</t>
        </is>
      </c>
      <c r="I78" t="n">
        <v>13</v>
      </c>
      <c r="J78" s="3" t="n">
        <v>1073.16</v>
      </c>
      <c r="K78" s="3" t="n">
        <v>13951.09</v>
      </c>
      <c r="L78" t="inlineStr">
        <is>
          <t>Paid</t>
        </is>
      </c>
      <c r="M78" t="inlineStr">
        <is>
          <t>2025-07-07</t>
        </is>
      </c>
      <c r="N78" t="inlineStr">
        <is>
          <t>Credit Card</t>
        </is>
      </c>
    </row>
    <row r="79">
      <c r="A79" t="inlineStr">
        <is>
          <t>INV-0078</t>
        </is>
      </c>
      <c r="B79" t="inlineStr">
        <is>
          <t>2025-10-31</t>
        </is>
      </c>
      <c r="C79" t="inlineStr">
        <is>
          <t>2025-12-15</t>
        </is>
      </c>
      <c r="D79" t="inlineStr">
        <is>
          <t>V002</t>
        </is>
      </c>
      <c r="E79" t="inlineStr">
        <is>
          <t>Tech Solutions Ltd</t>
        </is>
      </c>
      <c r="F79" t="inlineStr">
        <is>
          <t>Software</t>
        </is>
      </c>
      <c r="G79" t="inlineStr">
        <is>
          <t>IT</t>
        </is>
      </c>
      <c r="H79" t="inlineStr">
        <is>
          <t>Business application</t>
        </is>
      </c>
      <c r="I79" t="n">
        <v>10</v>
      </c>
      <c r="J79" s="3" t="n">
        <v>383.2</v>
      </c>
      <c r="K79" s="3" t="n">
        <v>3832.03</v>
      </c>
      <c r="L79" t="inlineStr">
        <is>
          <t>Pending</t>
        </is>
      </c>
    </row>
    <row r="80">
      <c r="A80" t="inlineStr">
        <is>
          <t>INV-0079</t>
        </is>
      </c>
      <c r="B80" t="inlineStr">
        <is>
          <t>2025-03-03</t>
        </is>
      </c>
      <c r="C80" t="inlineStr">
        <is>
          <t>2025-04-17</t>
        </is>
      </c>
      <c r="D80" t="inlineStr">
        <is>
          <t>V010</t>
        </is>
      </c>
      <c r="E80" t="inlineStr">
        <is>
          <t>FreshBite Catering</t>
        </is>
      </c>
      <c r="F80" t="inlineStr">
        <is>
          <t>Office Supplies</t>
        </is>
      </c>
      <c r="G80" t="inlineStr">
        <is>
          <t>Administration</t>
        </is>
      </c>
      <c r="H80" t="inlineStr">
        <is>
          <t>Pens and stationery</t>
        </is>
      </c>
      <c r="I80" t="n">
        <v>12</v>
      </c>
      <c r="J80" s="3" t="n">
        <v>447.61</v>
      </c>
      <c r="K80" s="3" t="n">
        <v>5371.26</v>
      </c>
      <c r="L80" t="inlineStr">
        <is>
          <t>Pending</t>
        </is>
      </c>
    </row>
    <row r="81">
      <c r="A81" t="inlineStr">
        <is>
          <t>INV-0080</t>
        </is>
      </c>
      <c r="B81" t="inlineStr">
        <is>
          <t>2025-09-17</t>
        </is>
      </c>
      <c r="C81" t="inlineStr">
        <is>
          <t>2025-11-01</t>
        </is>
      </c>
      <c r="D81" t="inlineStr">
        <is>
          <t>V002</t>
        </is>
      </c>
      <c r="E81" t="inlineStr">
        <is>
          <t>Tech Solutions Ltd</t>
        </is>
      </c>
      <c r="F81" t="inlineStr">
        <is>
          <t>Software</t>
        </is>
      </c>
      <c r="G81" t="inlineStr">
        <is>
          <t>IT</t>
        </is>
      </c>
      <c r="H81" t="inlineStr">
        <is>
          <t>Cloud storage</t>
        </is>
      </c>
      <c r="I81" t="n">
        <v>4</v>
      </c>
      <c r="J81" s="3" t="n">
        <v>3195.31</v>
      </c>
      <c r="K81" s="3" t="n">
        <v>12781.24</v>
      </c>
      <c r="L81" t="inlineStr">
        <is>
          <t>Paid</t>
        </is>
      </c>
      <c r="M81" t="inlineStr">
        <is>
          <t>2025-10-17</t>
        </is>
      </c>
      <c r="N81" t="inlineStr">
        <is>
          <t>Cheque</t>
        </is>
      </c>
    </row>
    <row r="82">
      <c r="A82" t="inlineStr">
        <is>
          <t>INV-0008-DUP</t>
        </is>
      </c>
      <c r="B82" t="inlineStr">
        <is>
          <t>2025-12-10</t>
        </is>
      </c>
      <c r="C82" t="inlineStr">
        <is>
          <t>2026-01-09</t>
        </is>
      </c>
      <c r="D82" t="inlineStr">
        <is>
          <t>V004</t>
        </is>
      </c>
      <c r="E82" t="inlineStr">
        <is>
          <t>Bright Marketing Co</t>
        </is>
      </c>
      <c r="F82" t="inlineStr">
        <is>
          <t>Marketing</t>
        </is>
      </c>
      <c r="G82" t="inlineStr">
        <is>
          <t>Marketing</t>
        </is>
      </c>
      <c r="H82" t="inlineStr">
        <is>
          <t>Digital advertising</t>
        </is>
      </c>
      <c r="I82" t="n">
        <v>20</v>
      </c>
      <c r="J82" s="3" t="n">
        <v>516.62</v>
      </c>
      <c r="K82" s="3" t="n">
        <v>10332.33</v>
      </c>
      <c r="L82" t="inlineStr">
        <is>
          <t>Pending</t>
        </is>
      </c>
    </row>
    <row r="83">
      <c r="A83" t="inlineStr">
        <is>
          <t>INV-0024-DUP</t>
        </is>
      </c>
      <c r="B83" t="inlineStr">
        <is>
          <t>2025-09-21</t>
        </is>
      </c>
      <c r="C83" t="inlineStr">
        <is>
          <t>2025-10-06</t>
        </is>
      </c>
      <c r="D83" t="inlineStr">
        <is>
          <t>V002</t>
        </is>
      </c>
      <c r="E83" t="inlineStr">
        <is>
          <t>Tech Solutions Ltd</t>
        </is>
      </c>
      <c r="F83" t="inlineStr">
        <is>
          <t>Software</t>
        </is>
      </c>
      <c r="G83" t="inlineStr">
        <is>
          <t>IT</t>
        </is>
      </c>
      <c r="H83" t="inlineStr">
        <is>
          <t>Business application</t>
        </is>
      </c>
      <c r="I83" t="n">
        <v>5</v>
      </c>
      <c r="J83" s="3" t="n">
        <v>1481.97</v>
      </c>
      <c r="K83" s="3" t="n">
        <v>7409.86</v>
      </c>
      <c r="L83" t="inlineStr">
        <is>
          <t>Paid</t>
        </is>
      </c>
      <c r="M83" t="inlineStr">
        <is>
          <t>2025-10-24</t>
        </is>
      </c>
      <c r="N83" t="inlineStr">
        <is>
          <t>Credit Card</t>
        </is>
      </c>
    </row>
    <row r="84">
      <c r="A84" t="inlineStr">
        <is>
          <t>INV-0052-DUP</t>
        </is>
      </c>
      <c r="B84" t="inlineStr">
        <is>
          <t>2025-06-26</t>
        </is>
      </c>
      <c r="C84" t="inlineStr">
        <is>
          <t>2025-08-10</t>
        </is>
      </c>
      <c r="D84" t="inlineStr">
        <is>
          <t>V007</t>
        </is>
      </c>
      <c r="E84" t="inlineStr">
        <is>
          <t>SafeGuard Security</t>
        </is>
      </c>
      <c r="F84" t="inlineStr">
        <is>
          <t>Facilities</t>
        </is>
      </c>
      <c r="G84" t="inlineStr">
        <is>
          <t>Facilities</t>
        </is>
      </c>
      <c r="H84" t="inlineStr">
        <is>
          <t>Security service</t>
        </is>
      </c>
      <c r="I84" t="n">
        <v>4</v>
      </c>
      <c r="J84" s="3" t="n">
        <v>1671.7</v>
      </c>
      <c r="K84" s="3" t="n">
        <v>6686.81</v>
      </c>
      <c r="L84" t="inlineStr">
        <is>
          <t>Pending</t>
        </is>
      </c>
    </row>
  </sheetData>
  <autoFilter ref="A1:N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17" customWidth="1" min="4" max="4"/>
  </cols>
  <sheetData>
    <row r="1">
      <c r="A1" s="4" t="inlineStr">
        <is>
          <t>Vendor ID</t>
        </is>
      </c>
      <c r="B1" s="4" t="inlineStr">
        <is>
          <t>Vendor Name</t>
        </is>
      </c>
      <c r="C1" s="4" t="inlineStr">
        <is>
          <t>Department</t>
        </is>
      </c>
      <c r="D1" s="4" t="inlineStr">
        <is>
          <t>Vendor Category</t>
        </is>
      </c>
    </row>
    <row r="2">
      <c r="A2" t="inlineStr">
        <is>
          <t>V001</t>
        </is>
      </c>
      <c r="B2" t="inlineStr">
        <is>
          <t>ABC Office Supplies</t>
        </is>
      </c>
      <c r="C2" t="inlineStr">
        <is>
          <t>Administration</t>
        </is>
      </c>
      <c r="D2" t="inlineStr">
        <is>
          <t>Office Supplies</t>
        </is>
      </c>
    </row>
    <row r="3">
      <c r="A3" t="inlineStr">
        <is>
          <t>V002</t>
        </is>
      </c>
      <c r="B3" t="inlineStr">
        <is>
          <t>Tech Solutions Ltd</t>
        </is>
      </c>
      <c r="C3" t="inlineStr">
        <is>
          <t>IT</t>
        </is>
      </c>
      <c r="D3" t="inlineStr">
        <is>
          <t>Software</t>
        </is>
      </c>
    </row>
    <row r="4">
      <c r="A4" t="inlineStr">
        <is>
          <t>V003</t>
        </is>
      </c>
      <c r="B4" t="inlineStr">
        <is>
          <t>CleanPro Services</t>
        </is>
      </c>
      <c r="C4" t="inlineStr">
        <is>
          <t>Facilities</t>
        </is>
      </c>
      <c r="D4" t="inlineStr">
        <is>
          <t>Facilities</t>
        </is>
      </c>
    </row>
    <row r="5">
      <c r="A5" t="inlineStr">
        <is>
          <t>V004</t>
        </is>
      </c>
      <c r="B5" t="inlineStr">
        <is>
          <t>Bright Marketing Co</t>
        </is>
      </c>
      <c r="C5" t="inlineStr">
        <is>
          <t>Marketing</t>
        </is>
      </c>
      <c r="D5" t="inlineStr">
        <is>
          <t>Marketing</t>
        </is>
      </c>
    </row>
    <row r="6">
      <c r="A6" t="inlineStr">
        <is>
          <t>V005</t>
        </is>
      </c>
      <c r="B6" t="inlineStr">
        <is>
          <t>Metro Logistics</t>
        </is>
      </c>
      <c r="C6" t="inlineStr">
        <is>
          <t>Operations</t>
        </is>
      </c>
      <c r="D6" t="inlineStr">
        <is>
          <t>Logistics</t>
        </is>
      </c>
    </row>
    <row r="7">
      <c r="A7" t="inlineStr">
        <is>
          <t>V006</t>
        </is>
      </c>
      <c r="B7" t="inlineStr">
        <is>
          <t>PeopleFirst HR Services</t>
        </is>
      </c>
      <c r="C7" t="inlineStr">
        <is>
          <t>HR</t>
        </is>
      </c>
      <c r="D7" t="inlineStr">
        <is>
          <t>HR Services</t>
        </is>
      </c>
    </row>
    <row r="8">
      <c r="A8" t="inlineStr">
        <is>
          <t>V007</t>
        </is>
      </c>
      <c r="B8" t="inlineStr">
        <is>
          <t>SafeGuard Security</t>
        </is>
      </c>
      <c r="C8" t="inlineStr">
        <is>
          <t>Facilities</t>
        </is>
      </c>
      <c r="D8" t="inlineStr">
        <is>
          <t>Facilities</t>
        </is>
      </c>
    </row>
    <row r="9">
      <c r="A9" t="inlineStr">
        <is>
          <t>V008</t>
        </is>
      </c>
      <c r="B9" t="inlineStr">
        <is>
          <t>CloudWorks Software</t>
        </is>
      </c>
      <c r="C9" t="inlineStr">
        <is>
          <t>IT</t>
        </is>
      </c>
      <c r="D9" t="inlineStr">
        <is>
          <t>Software</t>
        </is>
      </c>
    </row>
    <row r="10">
      <c r="A10" t="inlineStr">
        <is>
          <t>V009</t>
        </is>
      </c>
      <c r="B10" t="inlineStr">
        <is>
          <t>Prime Travel Services</t>
        </is>
      </c>
      <c r="C10" t="inlineStr">
        <is>
          <t>Operations</t>
        </is>
      </c>
      <c r="D10" t="inlineStr">
        <is>
          <t>Travel</t>
        </is>
      </c>
    </row>
    <row r="11">
      <c r="A11" t="inlineStr">
        <is>
          <t>V010</t>
        </is>
      </c>
      <c r="B11" t="inlineStr">
        <is>
          <t>FreshBite Catering</t>
        </is>
      </c>
      <c r="C11" t="inlineStr">
        <is>
          <t>Administration</t>
        </is>
      </c>
      <c r="D11" t="inlineStr">
        <is>
          <t>Office Supplies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Project</t>
        </is>
      </c>
      <c r="B1" s="2" t="inlineStr">
        <is>
          <t>Purpose</t>
        </is>
      </c>
      <c r="C1" s="2" t="inlineStr">
        <is>
          <t>Note</t>
        </is>
      </c>
    </row>
    <row r="2">
      <c r="A2" t="inlineStr">
        <is>
          <t>Invoice &amp; Expense Analysis Dashboard</t>
        </is>
      </c>
      <c r="B2" t="inlineStr">
        <is>
          <t>Practice data cleaning, XLOOKUP, SUMIFS/COUNTIFS, PivotTables, duplicate detection, vendor/payment analysis, dashboard creation and business insights.</t>
        </is>
      </c>
      <c r="C2" t="inlineStr">
        <is>
          <t>Raw Data contains 83 records including 3 deliberate duplicate invoice records for the duplicate-identification exercise.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5" customWidth="1" min="5" max="5"/>
    <col width="18" customWidth="1" min="6" max="6"/>
    <col width="16" customWidth="1" min="7" max="7"/>
    <col width="2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6" customWidth="1" min="14" max="14"/>
    <col width="30" customWidth="1" min="15" max="15"/>
    <col width="30" customWidth="1" min="16" max="16"/>
    <col width="18" customWidth="1" min="17" max="17"/>
  </cols>
  <sheetData>
    <row r="1">
      <c r="A1" s="5" t="inlineStr">
        <is>
          <t>Invoice ID</t>
        </is>
      </c>
      <c r="B1" s="5" t="inlineStr">
        <is>
          <t>Invoice Date</t>
        </is>
      </c>
      <c r="C1" s="5" t="inlineStr">
        <is>
          <t>Due Date</t>
        </is>
      </c>
      <c r="D1" s="5" t="inlineStr">
        <is>
          <t>Vendor ID</t>
        </is>
      </c>
      <c r="E1" s="5" t="inlineStr">
        <is>
          <t>Vendor Name</t>
        </is>
      </c>
      <c r="F1" s="5" t="inlineStr">
        <is>
          <t>Expense Category</t>
        </is>
      </c>
      <c r="G1" s="5" t="inlineStr">
        <is>
          <t>Department</t>
        </is>
      </c>
      <c r="H1" s="5" t="inlineStr">
        <is>
          <t>Description</t>
        </is>
      </c>
      <c r="I1" s="5" t="inlineStr">
        <is>
          <t>Quantity</t>
        </is>
      </c>
      <c r="J1" s="5" t="inlineStr">
        <is>
          <t>Unit Cost</t>
        </is>
      </c>
      <c r="K1" s="5" t="inlineStr">
        <is>
          <t>Invoice Amount</t>
        </is>
      </c>
      <c r="L1" s="5" t="inlineStr">
        <is>
          <t>Payment Status</t>
        </is>
      </c>
      <c r="M1" s="5" t="inlineStr">
        <is>
          <t>Payment Date</t>
        </is>
      </c>
      <c r="N1" s="5" t="inlineStr">
        <is>
          <t>Payment Method</t>
        </is>
      </c>
      <c r="O1" s="5" t="inlineStr">
        <is>
          <t>Lookup Department</t>
        </is>
      </c>
      <c r="P1" s="5" t="inlineStr">
        <is>
          <t>Duplicate Check</t>
        </is>
      </c>
      <c r="Q1" s="5" t="inlineStr">
        <is>
          <t>Invoice Month</t>
        </is>
      </c>
    </row>
    <row r="2">
      <c r="A2" t="inlineStr">
        <is>
          <t>INV-0001</t>
        </is>
      </c>
      <c r="B2" t="inlineStr">
        <is>
          <t>2025-01-13</t>
        </is>
      </c>
      <c r="C2" t="inlineStr">
        <is>
          <t>2025-02-27</t>
        </is>
      </c>
      <c r="D2" t="inlineStr">
        <is>
          <t>V002</t>
        </is>
      </c>
      <c r="E2" t="inlineStr">
        <is>
          <t>Tech Solutions Ltd</t>
        </is>
      </c>
      <c r="F2" t="inlineStr">
        <is>
          <t>Software</t>
        </is>
      </c>
      <c r="G2" t="inlineStr">
        <is>
          <t>IT</t>
        </is>
      </c>
      <c r="H2" t="inlineStr">
        <is>
          <t>Business application</t>
        </is>
      </c>
      <c r="I2" t="n">
        <v>4</v>
      </c>
      <c r="J2" t="n">
        <v>885.59</v>
      </c>
      <c r="K2" t="n">
        <v>3542.36</v>
      </c>
      <c r="L2" t="inlineStr">
        <is>
          <t>Paid</t>
        </is>
      </c>
      <c r="M2" t="inlineStr">
        <is>
          <t>2025-01-21</t>
        </is>
      </c>
      <c r="N2" t="inlineStr">
        <is>
          <t>UPI</t>
        </is>
      </c>
      <c r="O2">
        <f>XLOOKUP(D2,'Vendor Mapping'!$A:$A,'Vendor Mapping'!$C:$C,"Not Found")</f>
        <v/>
      </c>
      <c r="P2">
        <f>IF(COUNTIFS($D:$D,D2,$B:$B,B2,$K:$K,K2)&gt;1,"Duplicate","Unique")</f>
        <v/>
      </c>
      <c r="Q2">
        <f>TEXT(B2,"mmm")</f>
        <v/>
      </c>
    </row>
    <row r="3">
      <c r="A3" t="inlineStr">
        <is>
          <t>INV-0002</t>
        </is>
      </c>
      <c r="B3" t="inlineStr">
        <is>
          <t>2025-01-16</t>
        </is>
      </c>
      <c r="C3" t="inlineStr">
        <is>
          <t>2025-01-31</t>
        </is>
      </c>
      <c r="D3" t="inlineStr">
        <is>
          <t>V001</t>
        </is>
      </c>
      <c r="E3" t="inlineStr">
        <is>
          <t>ABC Office Supplies</t>
        </is>
      </c>
      <c r="F3" t="inlineStr">
        <is>
          <t>Office Supplies</t>
        </is>
      </c>
      <c r="G3" t="inlineStr">
        <is>
          <t>Administration</t>
        </is>
      </c>
      <c r="H3" t="inlineStr">
        <is>
          <t>Printer paper</t>
        </is>
      </c>
      <c r="I3" t="n">
        <v>18</v>
      </c>
      <c r="J3" t="n">
        <v>428</v>
      </c>
      <c r="K3" t="n">
        <v>7703.99</v>
      </c>
      <c r="L3" t="inlineStr">
        <is>
          <t>Paid</t>
        </is>
      </c>
      <c r="M3" t="inlineStr">
        <is>
          <t>2025-01-31</t>
        </is>
      </c>
      <c r="N3" t="inlineStr">
        <is>
          <t>UPI</t>
        </is>
      </c>
      <c r="O3">
        <f>XLOOKUP(D3,'Vendor Mapping'!$A:$A,'Vendor Mapping'!$C:$C,"Not Found")</f>
        <v/>
      </c>
      <c r="P3">
        <f>IF(COUNTIFS($D:$D,D3,$B:$B,B3,$K:$K,K3)&gt;1,"Duplicate","Unique")</f>
        <v/>
      </c>
      <c r="Q3">
        <f>TEXT(B3,"mmm")</f>
        <v/>
      </c>
    </row>
    <row r="4">
      <c r="A4" t="inlineStr">
        <is>
          <t>INV-0003</t>
        </is>
      </c>
      <c r="B4" t="inlineStr">
        <is>
          <t>2025-08-18</t>
        </is>
      </c>
      <c r="C4" t="inlineStr">
        <is>
          <t>2025-10-02</t>
        </is>
      </c>
      <c r="D4" t="inlineStr">
        <is>
          <t>V004</t>
        </is>
      </c>
      <c r="E4" t="inlineStr">
        <is>
          <t>Bright Marketing Co</t>
        </is>
      </c>
      <c r="F4" t="inlineStr">
        <is>
          <t>Marketing</t>
        </is>
      </c>
      <c r="G4" t="inlineStr">
        <is>
          <t>Marketing</t>
        </is>
      </c>
      <c r="H4" t="inlineStr">
        <is>
          <t>Digital advertising</t>
        </is>
      </c>
      <c r="I4" t="n">
        <v>14</v>
      </c>
      <c r="J4" t="n">
        <v>933.73</v>
      </c>
      <c r="K4" t="n">
        <v>13072.18</v>
      </c>
      <c r="L4" t="inlineStr">
        <is>
          <t>Paid</t>
        </is>
      </c>
      <c r="M4" t="inlineStr">
        <is>
          <t>2025-09-11</t>
        </is>
      </c>
      <c r="N4" t="inlineStr">
        <is>
          <t>Cheque</t>
        </is>
      </c>
      <c r="O4">
        <f>XLOOKUP(D4,'Vendor Mapping'!$A:$A,'Vendor Mapping'!$C:$C,"Not Found")</f>
        <v/>
      </c>
      <c r="P4">
        <f>IF(COUNTIFS($D:$D,D4,$B:$B,B4,$K:$K,K4)&gt;1,"Duplicate","Unique")</f>
        <v/>
      </c>
      <c r="Q4">
        <f>TEXT(B4,"mmm")</f>
        <v/>
      </c>
    </row>
    <row r="5">
      <c r="A5" t="inlineStr">
        <is>
          <t>INV-0004</t>
        </is>
      </c>
      <c r="B5" t="inlineStr">
        <is>
          <t>2025-04-21</t>
        </is>
      </c>
      <c r="C5" t="inlineStr">
        <is>
          <t>2025-05-21</t>
        </is>
      </c>
      <c r="D5" t="inlineStr">
        <is>
          <t>V003</t>
        </is>
      </c>
      <c r="E5" t="inlineStr">
        <is>
          <t>CleanPro Services</t>
        </is>
      </c>
      <c r="F5" t="inlineStr">
        <is>
          <t>Facilities</t>
        </is>
      </c>
      <c r="G5" t="inlineStr">
        <is>
          <t>Facilities</t>
        </is>
      </c>
      <c r="H5" t="inlineStr">
        <is>
          <t>Maintenance</t>
        </is>
      </c>
      <c r="I5" t="n">
        <v>12</v>
      </c>
      <c r="J5" t="n">
        <v>487.83</v>
      </c>
      <c r="K5" t="n">
        <v>5853.93</v>
      </c>
      <c r="L5" t="inlineStr">
        <is>
          <t>Paid</t>
        </is>
      </c>
      <c r="M5" t="inlineStr">
        <is>
          <t>2025-05-10</t>
        </is>
      </c>
      <c r="N5" t="inlineStr">
        <is>
          <t>Bank Transfer</t>
        </is>
      </c>
      <c r="O5">
        <f>XLOOKUP(D5,'Vendor Mapping'!$A:$A,'Vendor Mapping'!$C:$C,"Not Found")</f>
        <v/>
      </c>
      <c r="P5">
        <f>IF(COUNTIFS($D:$D,D5,$B:$B,B5,$K:$K,K5)&gt;1,"Duplicate","Unique")</f>
        <v/>
      </c>
      <c r="Q5">
        <f>TEXT(B5,"mmm")</f>
        <v/>
      </c>
    </row>
    <row r="6">
      <c r="A6" t="inlineStr">
        <is>
          <t>INV-0005</t>
        </is>
      </c>
      <c r="B6" t="inlineStr">
        <is>
          <t>2025-10-02</t>
        </is>
      </c>
      <c r="C6" t="inlineStr">
        <is>
          <t>2025-10-17</t>
        </is>
      </c>
      <c r="D6" t="inlineStr">
        <is>
          <t>V008</t>
        </is>
      </c>
      <c r="E6" t="inlineStr">
        <is>
          <t>CloudWorks Software</t>
        </is>
      </c>
      <c r="F6" t="inlineStr">
        <is>
          <t>Software</t>
        </is>
      </c>
      <c r="G6" t="inlineStr">
        <is>
          <t>IT</t>
        </is>
      </c>
      <c r="H6" t="inlineStr">
        <is>
          <t>Business application</t>
        </is>
      </c>
      <c r="I6" t="n">
        <v>10</v>
      </c>
      <c r="J6" t="n">
        <v>583.34</v>
      </c>
      <c r="K6" t="n">
        <v>5833.38</v>
      </c>
      <c r="L6" t="inlineStr">
        <is>
          <t>Overdue</t>
        </is>
      </c>
      <c r="O6">
        <f>XLOOKUP(D6,'Vendor Mapping'!$A:$A,'Vendor Mapping'!$C:$C,"Not Found")</f>
        <v/>
      </c>
      <c r="P6">
        <f>IF(COUNTIFS($D:$D,D6,$B:$B,B6,$K:$K,K6)&gt;1,"Duplicate","Unique")</f>
        <v/>
      </c>
      <c r="Q6">
        <f>TEXT(B6,"mmm")</f>
        <v/>
      </c>
    </row>
    <row r="7">
      <c r="A7" t="inlineStr">
        <is>
          <t>INV-0006</t>
        </is>
      </c>
      <c r="B7" t="inlineStr">
        <is>
          <t>2025-07-05</t>
        </is>
      </c>
      <c r="C7" t="inlineStr">
        <is>
          <t>2025-08-19</t>
        </is>
      </c>
      <c r="D7" t="inlineStr">
        <is>
          <t>V010</t>
        </is>
      </c>
      <c r="E7" t="inlineStr">
        <is>
          <t>FreshBite Catering</t>
        </is>
      </c>
      <c r="F7" t="inlineStr">
        <is>
          <t>Office Supplies</t>
        </is>
      </c>
      <c r="G7" t="inlineStr">
        <is>
          <t>Administration</t>
        </is>
      </c>
      <c r="H7" t="inlineStr">
        <is>
          <t>Printer cartridges</t>
        </is>
      </c>
      <c r="I7" t="n">
        <v>8</v>
      </c>
      <c r="J7" t="n">
        <v>159.49</v>
      </c>
      <c r="K7" t="n">
        <v>1275.94</v>
      </c>
      <c r="L7" t="inlineStr">
        <is>
          <t>Paid</t>
        </is>
      </c>
      <c r="M7" t="inlineStr">
        <is>
          <t>2025-07-26</t>
        </is>
      </c>
      <c r="N7" t="inlineStr">
        <is>
          <t>Bank Transfer</t>
        </is>
      </c>
      <c r="O7">
        <f>XLOOKUP(D7,'Vendor Mapping'!$A:$A,'Vendor Mapping'!$C:$C,"Not Found")</f>
        <v/>
      </c>
      <c r="P7">
        <f>IF(COUNTIFS($D:$D,D7,$B:$B,B7,$K:$K,K7)&gt;1,"Duplicate","Unique")</f>
        <v/>
      </c>
      <c r="Q7">
        <f>TEXT(B7,"mmm")</f>
        <v/>
      </c>
    </row>
    <row r="8">
      <c r="A8" t="inlineStr">
        <is>
          <t>INV-0007</t>
        </is>
      </c>
      <c r="B8" t="inlineStr">
        <is>
          <t>2025-02-21</t>
        </is>
      </c>
      <c r="C8" t="inlineStr">
        <is>
          <t>2025-03-23</t>
        </is>
      </c>
      <c r="D8" t="inlineStr">
        <is>
          <t>V004</t>
        </is>
      </c>
      <c r="E8" t="inlineStr">
        <is>
          <t>Bright Marketing Co</t>
        </is>
      </c>
      <c r="F8" t="inlineStr">
        <is>
          <t>Marketing</t>
        </is>
      </c>
      <c r="G8" t="inlineStr">
        <is>
          <t>Marketing</t>
        </is>
      </c>
      <c r="H8" t="inlineStr">
        <is>
          <t>Printing and promotion</t>
        </is>
      </c>
      <c r="I8" t="n">
        <v>6</v>
      </c>
      <c r="J8" t="n">
        <v>1604.39</v>
      </c>
      <c r="K8" t="n">
        <v>9626.35</v>
      </c>
      <c r="L8" t="inlineStr">
        <is>
          <t>Paid</t>
        </is>
      </c>
      <c r="M8" t="inlineStr">
        <is>
          <t>2025-03-19</t>
        </is>
      </c>
      <c r="N8" t="inlineStr">
        <is>
          <t>Cheque</t>
        </is>
      </c>
      <c r="O8">
        <f>XLOOKUP(D8,'Vendor Mapping'!$A:$A,'Vendor Mapping'!$C:$C,"Not Found")</f>
        <v/>
      </c>
      <c r="P8">
        <f>IF(COUNTIFS($D:$D,D8,$B:$B,B8,$K:$K,K8)&gt;1,"Duplicate","Unique")</f>
        <v/>
      </c>
      <c r="Q8">
        <f>TEXT(B8,"mmm")</f>
        <v/>
      </c>
    </row>
    <row r="9">
      <c r="A9" t="inlineStr">
        <is>
          <t>INV-0008</t>
        </is>
      </c>
      <c r="B9" t="inlineStr">
        <is>
          <t>2025-12-10</t>
        </is>
      </c>
      <c r="C9" t="inlineStr">
        <is>
          <t>2026-01-09</t>
        </is>
      </c>
      <c r="D9" t="inlineStr">
        <is>
          <t>V004</t>
        </is>
      </c>
      <c r="E9" t="inlineStr">
        <is>
          <t>Bright Marketing Co</t>
        </is>
      </c>
      <c r="F9" t="inlineStr">
        <is>
          <t>Marketing</t>
        </is>
      </c>
      <c r="G9" t="inlineStr">
        <is>
          <t>Marketing</t>
        </is>
      </c>
      <c r="H9" t="inlineStr">
        <is>
          <t>Digital advertising</t>
        </is>
      </c>
      <c r="I9" t="n">
        <v>20</v>
      </c>
      <c r="J9" t="n">
        <v>516.62</v>
      </c>
      <c r="K9" t="n">
        <v>10332.33</v>
      </c>
      <c r="L9" t="inlineStr">
        <is>
          <t>Pending</t>
        </is>
      </c>
      <c r="O9">
        <f>XLOOKUP(D9,'Vendor Mapping'!$A:$A,'Vendor Mapping'!$C:$C,"Not Found")</f>
        <v/>
      </c>
      <c r="P9">
        <f>IF(COUNTIFS($D:$D,D9,$B:$B,B9,$K:$K,K9)&gt;1,"Duplicate","Unique")</f>
        <v/>
      </c>
      <c r="Q9">
        <f>TEXT(B9,"mmm")</f>
        <v/>
      </c>
    </row>
    <row r="10">
      <c r="A10" t="inlineStr">
        <is>
          <t>INV-0009</t>
        </is>
      </c>
      <c r="B10" t="inlineStr">
        <is>
          <t>2025-10-01</t>
        </is>
      </c>
      <c r="C10" t="inlineStr">
        <is>
          <t>2025-11-15</t>
        </is>
      </c>
      <c r="D10" t="inlineStr">
        <is>
          <t>V003</t>
        </is>
      </c>
      <c r="E10" t="inlineStr">
        <is>
          <t>CleanPro Services</t>
        </is>
      </c>
      <c r="F10" t="inlineStr">
        <is>
          <t>Facilities</t>
        </is>
      </c>
      <c r="G10" t="inlineStr">
        <is>
          <t>Facilities</t>
        </is>
      </c>
      <c r="H10" t="inlineStr">
        <is>
          <t>Maintenance</t>
        </is>
      </c>
      <c r="I10" t="n">
        <v>18</v>
      </c>
      <c r="J10" t="n">
        <v>392.69</v>
      </c>
      <c r="K10" t="n">
        <v>7068.34</v>
      </c>
      <c r="L10" t="inlineStr">
        <is>
          <t>Paid</t>
        </is>
      </c>
      <c r="M10" t="inlineStr">
        <is>
          <t>2025-10-18</t>
        </is>
      </c>
      <c r="N10" t="inlineStr">
        <is>
          <t>Cheque</t>
        </is>
      </c>
      <c r="O10">
        <f>XLOOKUP(D10,'Vendor Mapping'!$A:$A,'Vendor Mapping'!$C:$C,"Not Found")</f>
        <v/>
      </c>
      <c r="P10">
        <f>IF(COUNTIFS($D:$D,D10,$B:$B,B10,$K:$K,K10)&gt;1,"Duplicate","Unique")</f>
        <v/>
      </c>
      <c r="Q10">
        <f>TEXT(B10,"mmm")</f>
        <v/>
      </c>
    </row>
    <row r="11">
      <c r="A11" t="inlineStr">
        <is>
          <t>INV-0010</t>
        </is>
      </c>
      <c r="B11" t="inlineStr">
        <is>
          <t>2025-04-28</t>
        </is>
      </c>
      <c r="C11" t="inlineStr">
        <is>
          <t>2025-05-13</t>
        </is>
      </c>
      <c r="D11" t="inlineStr">
        <is>
          <t>V001</t>
        </is>
      </c>
      <c r="E11" t="inlineStr">
        <is>
          <t>ABC Office Supplies</t>
        </is>
      </c>
      <c r="F11" t="inlineStr">
        <is>
          <t>Office Supplies</t>
        </is>
      </c>
      <c r="G11" t="inlineStr">
        <is>
          <t>Administration</t>
        </is>
      </c>
      <c r="H11" t="inlineStr">
        <is>
          <t>Printer paper</t>
        </is>
      </c>
      <c r="I11" t="n">
        <v>7</v>
      </c>
      <c r="J11" t="n">
        <v>881.03</v>
      </c>
      <c r="K11" t="n">
        <v>6167.18</v>
      </c>
      <c r="L11" t="inlineStr">
        <is>
          <t>Pending</t>
        </is>
      </c>
      <c r="O11">
        <f>XLOOKUP(D11,'Vendor Mapping'!$A:$A,'Vendor Mapping'!$C:$C,"Not Found")</f>
        <v/>
      </c>
      <c r="P11">
        <f>IF(COUNTIFS($D:$D,D11,$B:$B,B11,$K:$K,K11)&gt;1,"Duplicate","Unique")</f>
        <v/>
      </c>
      <c r="Q11">
        <f>TEXT(B11,"mmm")</f>
        <v/>
      </c>
    </row>
    <row r="12">
      <c r="A12" t="inlineStr">
        <is>
          <t>INV-0011</t>
        </is>
      </c>
      <c r="B12" t="inlineStr">
        <is>
          <t>2025-06-11</t>
        </is>
      </c>
      <c r="C12" t="inlineStr">
        <is>
          <t>2025-06-26</t>
        </is>
      </c>
      <c r="D12" t="inlineStr">
        <is>
          <t>V010</t>
        </is>
      </c>
      <c r="E12" t="inlineStr">
        <is>
          <t>FreshBite Catering</t>
        </is>
      </c>
      <c r="F12" t="inlineStr">
        <is>
          <t>Office Supplies</t>
        </is>
      </c>
      <c r="G12" t="inlineStr">
        <is>
          <t>Administration</t>
        </is>
      </c>
      <c r="H12" t="inlineStr">
        <is>
          <t>Printer cartridges</t>
        </is>
      </c>
      <c r="I12" t="n">
        <v>15</v>
      </c>
      <c r="J12" t="n">
        <v>405.7</v>
      </c>
      <c r="K12" t="n">
        <v>6085.57</v>
      </c>
      <c r="L12" t="inlineStr">
        <is>
          <t>Pending</t>
        </is>
      </c>
      <c r="O12">
        <f>XLOOKUP(D12,'Vendor Mapping'!$A:$A,'Vendor Mapping'!$C:$C,"Not Found")</f>
        <v/>
      </c>
      <c r="P12">
        <f>IF(COUNTIFS($D:$D,D12,$B:$B,B12,$K:$K,K12)&gt;1,"Duplicate","Unique")</f>
        <v/>
      </c>
      <c r="Q12">
        <f>TEXT(B12,"mmm")</f>
        <v/>
      </c>
    </row>
    <row r="13">
      <c r="A13" t="inlineStr">
        <is>
          <t>INV-0012</t>
        </is>
      </c>
      <c r="B13" t="inlineStr">
        <is>
          <t>2025-05-16</t>
        </is>
      </c>
      <c r="C13" t="inlineStr">
        <is>
          <t>2025-05-31</t>
        </is>
      </c>
      <c r="D13" t="inlineStr">
        <is>
          <t>V003</t>
        </is>
      </c>
      <c r="E13" t="inlineStr">
        <is>
          <t>CleanPro Services</t>
        </is>
      </c>
      <c r="F13" t="inlineStr">
        <is>
          <t>Facilities</t>
        </is>
      </c>
      <c r="G13" t="inlineStr">
        <is>
          <t>Facilities</t>
        </is>
      </c>
      <c r="H13" t="inlineStr">
        <is>
          <t>Maintenance</t>
        </is>
      </c>
      <c r="I13" t="n">
        <v>19</v>
      </c>
      <c r="J13" t="n">
        <v>448.96</v>
      </c>
      <c r="K13" t="n">
        <v>8530.18</v>
      </c>
      <c r="L13" t="inlineStr">
        <is>
          <t>Paid</t>
        </is>
      </c>
      <c r="M13" t="inlineStr">
        <is>
          <t>2025-06-15</t>
        </is>
      </c>
      <c r="N13" t="inlineStr">
        <is>
          <t>UPI</t>
        </is>
      </c>
      <c r="O13">
        <f>XLOOKUP(D13,'Vendor Mapping'!$A:$A,'Vendor Mapping'!$C:$C,"Not Found")</f>
        <v/>
      </c>
      <c r="P13">
        <f>IF(COUNTIFS($D:$D,D13,$B:$B,B13,$K:$K,K13)&gt;1,"Duplicate","Unique")</f>
        <v/>
      </c>
      <c r="Q13">
        <f>TEXT(B13,"mmm")</f>
        <v/>
      </c>
    </row>
    <row r="14">
      <c r="A14" t="inlineStr">
        <is>
          <t>INV-0013</t>
        </is>
      </c>
      <c r="B14" t="inlineStr">
        <is>
          <t>2025-04-23</t>
        </is>
      </c>
      <c r="C14" t="inlineStr">
        <is>
          <t>2025-05-08</t>
        </is>
      </c>
      <c r="D14" t="inlineStr">
        <is>
          <t>V006</t>
        </is>
      </c>
      <c r="E14" t="inlineStr">
        <is>
          <t>PeopleFirst HR Services</t>
        </is>
      </c>
      <c r="F14" t="inlineStr">
        <is>
          <t>HR Services</t>
        </is>
      </c>
      <c r="G14" t="inlineStr">
        <is>
          <t>HR</t>
        </is>
      </c>
      <c r="H14" t="inlineStr">
        <is>
          <t>Recruitment service</t>
        </is>
      </c>
      <c r="I14" t="n">
        <v>4</v>
      </c>
      <c r="J14" t="n">
        <v>397.73</v>
      </c>
      <c r="K14" t="n">
        <v>1590.91</v>
      </c>
      <c r="L14" t="inlineStr">
        <is>
          <t>Paid</t>
        </is>
      </c>
      <c r="M14" t="inlineStr">
        <is>
          <t>2025-05-05</t>
        </is>
      </c>
      <c r="N14" t="inlineStr">
        <is>
          <t>Credit Card</t>
        </is>
      </c>
      <c r="O14">
        <f>XLOOKUP(D14,'Vendor Mapping'!$A:$A,'Vendor Mapping'!$C:$C,"Not Found")</f>
        <v/>
      </c>
      <c r="P14">
        <f>IF(COUNTIFS($D:$D,D14,$B:$B,B14,$K:$K,K14)&gt;1,"Duplicate","Unique")</f>
        <v/>
      </c>
      <c r="Q14">
        <f>TEXT(B14,"mmm")</f>
        <v/>
      </c>
    </row>
    <row r="15">
      <c r="A15" t="inlineStr">
        <is>
          <t>INV-0014</t>
        </is>
      </c>
      <c r="B15" t="inlineStr">
        <is>
          <t>2025-11-02</t>
        </is>
      </c>
      <c r="C15" t="inlineStr">
        <is>
          <t>2025-11-17</t>
        </is>
      </c>
      <c r="D15" t="inlineStr">
        <is>
          <t>V007</t>
        </is>
      </c>
      <c r="E15" t="inlineStr">
        <is>
          <t>SafeGuard Security</t>
        </is>
      </c>
      <c r="F15" t="inlineStr">
        <is>
          <t>Facilities</t>
        </is>
      </c>
      <c r="G15" t="inlineStr">
        <is>
          <t>Facilities</t>
        </is>
      </c>
      <c r="H15" t="inlineStr">
        <is>
          <t>Maintenance</t>
        </is>
      </c>
      <c r="I15" t="n">
        <v>17</v>
      </c>
      <c r="J15" t="n">
        <v>531.73</v>
      </c>
      <c r="K15" t="n">
        <v>9039.35</v>
      </c>
      <c r="L15" t="inlineStr">
        <is>
          <t>Paid</t>
        </is>
      </c>
      <c r="M15" t="inlineStr">
        <is>
          <t>2025-11-21</t>
        </is>
      </c>
      <c r="N15" t="inlineStr">
        <is>
          <t>Bank Transfer</t>
        </is>
      </c>
      <c r="O15">
        <f>XLOOKUP(D15,'Vendor Mapping'!$A:$A,'Vendor Mapping'!$C:$C,"Not Found")</f>
        <v/>
      </c>
      <c r="P15">
        <f>IF(COUNTIFS($D:$D,D15,$B:$B,B15,$K:$K,K15)&gt;1,"Duplicate","Unique")</f>
        <v/>
      </c>
      <c r="Q15">
        <f>TEXT(B15,"mmm")</f>
        <v/>
      </c>
    </row>
    <row r="16">
      <c r="A16" t="inlineStr">
        <is>
          <t>INV-0015</t>
        </is>
      </c>
      <c r="B16" t="inlineStr">
        <is>
          <t>2025-12-16</t>
        </is>
      </c>
      <c r="C16" t="inlineStr">
        <is>
          <t>2026-01-30</t>
        </is>
      </c>
      <c r="D16" t="inlineStr">
        <is>
          <t>V002</t>
        </is>
      </c>
      <c r="E16" t="inlineStr">
        <is>
          <t>Tech Solutions Ltd</t>
        </is>
      </c>
      <c r="F16" t="inlineStr">
        <is>
          <t>Software</t>
        </is>
      </c>
      <c r="G16" t="inlineStr">
        <is>
          <t>IT</t>
        </is>
      </c>
      <c r="H16" t="inlineStr">
        <is>
          <t>Cloud storage</t>
        </is>
      </c>
      <c r="I16" t="n">
        <v>4</v>
      </c>
      <c r="J16" t="n">
        <v>2896.71</v>
      </c>
      <c r="K16" t="n">
        <v>11586.83</v>
      </c>
      <c r="L16" t="inlineStr">
        <is>
          <t>Pending</t>
        </is>
      </c>
      <c r="O16">
        <f>XLOOKUP(D16,'Vendor Mapping'!$A:$A,'Vendor Mapping'!$C:$C,"Not Found")</f>
        <v/>
      </c>
      <c r="P16">
        <f>IF(COUNTIFS($D:$D,D16,$B:$B,B16,$K:$K,K16)&gt;1,"Duplicate","Unique")</f>
        <v/>
      </c>
      <c r="Q16">
        <f>TEXT(B16,"mmm")</f>
        <v/>
      </c>
    </row>
    <row r="17">
      <c r="A17" t="inlineStr">
        <is>
          <t>INV-0016</t>
        </is>
      </c>
      <c r="B17" t="inlineStr">
        <is>
          <t>2025-08-11</t>
        </is>
      </c>
      <c r="C17" t="inlineStr">
        <is>
          <t>2025-08-26</t>
        </is>
      </c>
      <c r="D17" t="inlineStr">
        <is>
          <t>V005</t>
        </is>
      </c>
      <c r="E17" t="inlineStr">
        <is>
          <t>Metro Logistics</t>
        </is>
      </c>
      <c r="F17" t="inlineStr">
        <is>
          <t>Logistics</t>
        </is>
      </c>
      <c r="G17" t="inlineStr">
        <is>
          <t>Operations</t>
        </is>
      </c>
      <c r="H17" t="inlineStr">
        <is>
          <t>Delivery service</t>
        </is>
      </c>
      <c r="I17" t="n">
        <v>9</v>
      </c>
      <c r="J17" t="n">
        <v>1590.98</v>
      </c>
      <c r="K17" t="n">
        <v>14318.78</v>
      </c>
      <c r="L17" t="inlineStr">
        <is>
          <t>Paid</t>
        </is>
      </c>
      <c r="M17" t="inlineStr">
        <is>
          <t>2025-09-15</t>
        </is>
      </c>
      <c r="N17" t="inlineStr">
        <is>
          <t>Credit Card</t>
        </is>
      </c>
      <c r="O17">
        <f>XLOOKUP(D17,'Vendor Mapping'!$A:$A,'Vendor Mapping'!$C:$C,"Not Found")</f>
        <v/>
      </c>
      <c r="P17">
        <f>IF(COUNTIFS($D:$D,D17,$B:$B,B17,$K:$K,K17)&gt;1,"Duplicate","Unique")</f>
        <v/>
      </c>
      <c r="Q17">
        <f>TEXT(B17,"mmm")</f>
        <v/>
      </c>
    </row>
    <row r="18">
      <c r="A18" t="inlineStr">
        <is>
          <t>INV-0017</t>
        </is>
      </c>
      <c r="B18" t="inlineStr">
        <is>
          <t>2025-02-24</t>
        </is>
      </c>
      <c r="C18" t="inlineStr">
        <is>
          <t>2025-04-10</t>
        </is>
      </c>
      <c r="D18" t="inlineStr">
        <is>
          <t>V009</t>
        </is>
      </c>
      <c r="E18" t="inlineStr">
        <is>
          <t>Prime Travel Services</t>
        </is>
      </c>
      <c r="F18" t="inlineStr">
        <is>
          <t>Travel</t>
        </is>
      </c>
      <c r="G18" t="inlineStr">
        <is>
          <t>Operations</t>
        </is>
      </c>
      <c r="H18" t="inlineStr">
        <is>
          <t>Travel expenses</t>
        </is>
      </c>
      <c r="I18" t="n">
        <v>7</v>
      </c>
      <c r="J18" t="n">
        <v>1382.07</v>
      </c>
      <c r="K18" t="n">
        <v>9674.51</v>
      </c>
      <c r="L18" t="inlineStr">
        <is>
          <t>Paid</t>
        </is>
      </c>
      <c r="M18" t="inlineStr">
        <is>
          <t>2025-03-08</t>
        </is>
      </c>
      <c r="N18" t="inlineStr">
        <is>
          <t>Cheque</t>
        </is>
      </c>
      <c r="O18">
        <f>XLOOKUP(D18,'Vendor Mapping'!$A:$A,'Vendor Mapping'!$C:$C,"Not Found")</f>
        <v/>
      </c>
      <c r="P18">
        <f>IF(COUNTIFS($D:$D,D18,$B:$B,B18,$K:$K,K18)&gt;1,"Duplicate","Unique")</f>
        <v/>
      </c>
      <c r="Q18">
        <f>TEXT(B18,"mmm")</f>
        <v/>
      </c>
    </row>
    <row r="19">
      <c r="A19" t="inlineStr">
        <is>
          <t>INV-0018</t>
        </is>
      </c>
      <c r="B19" t="inlineStr">
        <is>
          <t>2025-10-04</t>
        </is>
      </c>
      <c r="C19" t="inlineStr">
        <is>
          <t>2025-11-18</t>
        </is>
      </c>
      <c r="D19" t="inlineStr">
        <is>
          <t>V003</t>
        </is>
      </c>
      <c r="E19" t="inlineStr">
        <is>
          <t>CleanPro Services</t>
        </is>
      </c>
      <c r="F19" t="inlineStr">
        <is>
          <t>Facilities</t>
        </is>
      </c>
      <c r="G19" t="inlineStr">
        <is>
          <t>Facilities</t>
        </is>
      </c>
      <c r="H19" t="inlineStr">
        <is>
          <t>Maintenance</t>
        </is>
      </c>
      <c r="I19" t="n">
        <v>1</v>
      </c>
      <c r="J19" t="n">
        <v>9084.43</v>
      </c>
      <c r="K19" t="n">
        <v>9084.43</v>
      </c>
      <c r="L19" t="inlineStr">
        <is>
          <t>Overdue</t>
        </is>
      </c>
      <c r="O19">
        <f>XLOOKUP(D19,'Vendor Mapping'!$A:$A,'Vendor Mapping'!$C:$C,"Not Found")</f>
        <v/>
      </c>
      <c r="P19">
        <f>IF(COUNTIFS($D:$D,D19,$B:$B,B19,$K:$K,K19)&gt;1,"Duplicate","Unique")</f>
        <v/>
      </c>
      <c r="Q19">
        <f>TEXT(B19,"mmm")</f>
        <v/>
      </c>
    </row>
    <row r="20">
      <c r="A20" t="inlineStr">
        <is>
          <t>INV-0019</t>
        </is>
      </c>
      <c r="B20" t="inlineStr">
        <is>
          <t>2025-07-05</t>
        </is>
      </c>
      <c r="C20" t="inlineStr">
        <is>
          <t>2025-08-04</t>
        </is>
      </c>
      <c r="D20" t="inlineStr">
        <is>
          <t>V002</t>
        </is>
      </c>
      <c r="E20" t="inlineStr">
        <is>
          <t>Tech Solutions Ltd</t>
        </is>
      </c>
      <c r="F20" t="inlineStr">
        <is>
          <t>Software</t>
        </is>
      </c>
      <c r="G20" t="inlineStr">
        <is>
          <t>IT</t>
        </is>
      </c>
      <c r="H20" t="inlineStr">
        <is>
          <t>Business application</t>
        </is>
      </c>
      <c r="I20" t="n">
        <v>3</v>
      </c>
      <c r="J20" t="n">
        <v>1267.62</v>
      </c>
      <c r="K20" t="n">
        <v>3802.86</v>
      </c>
      <c r="L20" t="inlineStr">
        <is>
          <t>Paid</t>
        </is>
      </c>
      <c r="M20" t="inlineStr">
        <is>
          <t>2025-07-13</t>
        </is>
      </c>
      <c r="N20" t="inlineStr">
        <is>
          <t>UPI</t>
        </is>
      </c>
      <c r="O20">
        <f>XLOOKUP(D20,'Vendor Mapping'!$A:$A,'Vendor Mapping'!$C:$C,"Not Found")</f>
        <v/>
      </c>
      <c r="P20">
        <f>IF(COUNTIFS($D:$D,D20,$B:$B,B20,$K:$K,K20)&gt;1,"Duplicate","Unique")</f>
        <v/>
      </c>
      <c r="Q20">
        <f>TEXT(B20,"mmm")</f>
        <v/>
      </c>
    </row>
    <row r="21">
      <c r="A21" t="inlineStr">
        <is>
          <t>INV-0020</t>
        </is>
      </c>
      <c r="B21" t="inlineStr">
        <is>
          <t>2025-09-30</t>
        </is>
      </c>
      <c r="C21" t="inlineStr">
        <is>
          <t>2025-10-15</t>
        </is>
      </c>
      <c r="D21" t="inlineStr">
        <is>
          <t>V002</t>
        </is>
      </c>
      <c r="E21" t="inlineStr">
        <is>
          <t>Tech Solutions Ltd</t>
        </is>
      </c>
      <c r="F21" t="inlineStr">
        <is>
          <t>Software</t>
        </is>
      </c>
      <c r="G21" t="inlineStr">
        <is>
          <t>IT</t>
        </is>
      </c>
      <c r="H21" t="inlineStr">
        <is>
          <t>Business application</t>
        </is>
      </c>
      <c r="I21" t="n">
        <v>6</v>
      </c>
      <c r="J21" t="n">
        <v>1210.07</v>
      </c>
      <c r="K21" t="n">
        <v>7260.42</v>
      </c>
      <c r="L21" t="inlineStr">
        <is>
          <t>Paid</t>
        </is>
      </c>
      <c r="M21" t="inlineStr">
        <is>
          <t>2025-10-19</t>
        </is>
      </c>
      <c r="N21" t="inlineStr">
        <is>
          <t>UPI</t>
        </is>
      </c>
      <c r="O21">
        <f>XLOOKUP(D21,'Vendor Mapping'!$A:$A,'Vendor Mapping'!$C:$C,"Not Found")</f>
        <v/>
      </c>
      <c r="P21">
        <f>IF(COUNTIFS($D:$D,D21,$B:$B,B21,$K:$K,K21)&gt;1,"Duplicate","Unique")</f>
        <v/>
      </c>
      <c r="Q21">
        <f>TEXT(B21,"mmm")</f>
        <v/>
      </c>
    </row>
    <row r="22">
      <c r="A22" t="inlineStr">
        <is>
          <t>INV-0021</t>
        </is>
      </c>
      <c r="B22" t="inlineStr">
        <is>
          <t>2025-10-04</t>
        </is>
      </c>
      <c r="C22" t="inlineStr">
        <is>
          <t>2025-11-18</t>
        </is>
      </c>
      <c r="D22" t="inlineStr">
        <is>
          <t>V004</t>
        </is>
      </c>
      <c r="E22" t="inlineStr">
        <is>
          <t>Bright Marketing Co</t>
        </is>
      </c>
      <c r="F22" t="inlineStr">
        <is>
          <t>Marketing</t>
        </is>
      </c>
      <c r="G22" t="inlineStr">
        <is>
          <t>Marketing</t>
        </is>
      </c>
      <c r="H22" t="inlineStr">
        <is>
          <t>Printing and promotion</t>
        </is>
      </c>
      <c r="I22" t="n">
        <v>12</v>
      </c>
      <c r="J22" t="n">
        <v>897.17</v>
      </c>
      <c r="K22" t="n">
        <v>10766</v>
      </c>
      <c r="L22" t="inlineStr">
        <is>
          <t>Pending</t>
        </is>
      </c>
      <c r="O22">
        <f>XLOOKUP(D22,'Vendor Mapping'!$A:$A,'Vendor Mapping'!$C:$C,"Not Found")</f>
        <v/>
      </c>
      <c r="P22">
        <f>IF(COUNTIFS($D:$D,D22,$B:$B,B22,$K:$K,K22)&gt;1,"Duplicate","Unique")</f>
        <v/>
      </c>
      <c r="Q22">
        <f>TEXT(B22,"mmm")</f>
        <v/>
      </c>
    </row>
    <row r="23">
      <c r="A23" t="inlineStr">
        <is>
          <t>INV-0022</t>
        </is>
      </c>
      <c r="B23" t="inlineStr">
        <is>
          <t>2025-09-22</t>
        </is>
      </c>
      <c r="C23" t="inlineStr">
        <is>
          <t>2025-10-22</t>
        </is>
      </c>
      <c r="D23" t="inlineStr">
        <is>
          <t>V008</t>
        </is>
      </c>
      <c r="E23" t="inlineStr">
        <is>
          <t>CloudWorks Software</t>
        </is>
      </c>
      <c r="F23" t="inlineStr">
        <is>
          <t>Software</t>
        </is>
      </c>
      <c r="G23" t="inlineStr">
        <is>
          <t>IT</t>
        </is>
      </c>
      <c r="H23" t="inlineStr">
        <is>
          <t>Cloud storage</t>
        </is>
      </c>
      <c r="I23" t="n">
        <v>1</v>
      </c>
      <c r="J23" t="n">
        <v>3564.29</v>
      </c>
      <c r="K23" t="n">
        <v>3564.29</v>
      </c>
      <c r="L23" t="inlineStr">
        <is>
          <t>Paid</t>
        </is>
      </c>
      <c r="M23" t="inlineStr">
        <is>
          <t>2025-10-09</t>
        </is>
      </c>
      <c r="N23" t="inlineStr">
        <is>
          <t>Credit Card</t>
        </is>
      </c>
      <c r="O23">
        <f>XLOOKUP(D23,'Vendor Mapping'!$A:$A,'Vendor Mapping'!$C:$C,"Not Found")</f>
        <v/>
      </c>
      <c r="P23">
        <f>IF(COUNTIFS($D:$D,D23,$B:$B,B23,$K:$K,K23)&gt;1,"Duplicate","Unique")</f>
        <v/>
      </c>
      <c r="Q23">
        <f>TEXT(B23,"mmm")</f>
        <v/>
      </c>
    </row>
    <row r="24">
      <c r="A24" t="inlineStr">
        <is>
          <t>INV-0023</t>
        </is>
      </c>
      <c r="B24" t="inlineStr">
        <is>
          <t>2025-02-06</t>
        </is>
      </c>
      <c r="C24" t="inlineStr">
        <is>
          <t>2025-03-23</t>
        </is>
      </c>
      <c r="D24" t="inlineStr">
        <is>
          <t>V001</t>
        </is>
      </c>
      <c r="E24" t="inlineStr">
        <is>
          <t>ABC Office Supplies</t>
        </is>
      </c>
      <c r="F24" t="inlineStr">
        <is>
          <t>Office Supplies</t>
        </is>
      </c>
      <c r="G24" t="inlineStr">
        <is>
          <t>Administration</t>
        </is>
      </c>
      <c r="H24" t="inlineStr">
        <is>
          <t>Printer paper</t>
        </is>
      </c>
      <c r="I24" t="n">
        <v>11</v>
      </c>
      <c r="J24" t="n">
        <v>329.72</v>
      </c>
      <c r="K24" t="n">
        <v>3626.89</v>
      </c>
      <c r="L24" t="inlineStr">
        <is>
          <t>Pending</t>
        </is>
      </c>
      <c r="O24">
        <f>XLOOKUP(D24,'Vendor Mapping'!$A:$A,'Vendor Mapping'!$C:$C,"Not Found")</f>
        <v/>
      </c>
      <c r="P24">
        <f>IF(COUNTIFS($D:$D,D24,$B:$B,B24,$K:$K,K24)&gt;1,"Duplicate","Unique")</f>
        <v/>
      </c>
      <c r="Q24">
        <f>TEXT(B24,"mmm")</f>
        <v/>
      </c>
    </row>
    <row r="25">
      <c r="A25" t="inlineStr">
        <is>
          <t>INV-0024</t>
        </is>
      </c>
      <c r="B25" t="inlineStr">
        <is>
          <t>2025-09-21</t>
        </is>
      </c>
      <c r="C25" t="inlineStr">
        <is>
          <t>2025-10-06</t>
        </is>
      </c>
      <c r="D25" t="inlineStr">
        <is>
          <t>V002</t>
        </is>
      </c>
      <c r="E25" t="inlineStr">
        <is>
          <t>Tech Solutions Ltd</t>
        </is>
      </c>
      <c r="F25" t="inlineStr">
        <is>
          <t>Software</t>
        </is>
      </c>
      <c r="G25" t="inlineStr">
        <is>
          <t>IT</t>
        </is>
      </c>
      <c r="H25" t="inlineStr">
        <is>
          <t>Business application</t>
        </is>
      </c>
      <c r="I25" t="n">
        <v>5</v>
      </c>
      <c r="J25" t="n">
        <v>1481.97</v>
      </c>
      <c r="K25" t="n">
        <v>7409.86</v>
      </c>
      <c r="L25" t="inlineStr">
        <is>
          <t>Paid</t>
        </is>
      </c>
      <c r="M25" t="inlineStr">
        <is>
          <t>2025-10-24</t>
        </is>
      </c>
      <c r="N25" t="inlineStr">
        <is>
          <t>Credit Card</t>
        </is>
      </c>
      <c r="O25">
        <f>XLOOKUP(D25,'Vendor Mapping'!$A:$A,'Vendor Mapping'!$C:$C,"Not Found")</f>
        <v/>
      </c>
      <c r="P25">
        <f>IF(COUNTIFS($D:$D,D25,$B:$B,B25,$K:$K,K25)&gt;1,"Duplicate","Unique")</f>
        <v/>
      </c>
      <c r="Q25">
        <f>TEXT(B25,"mmm")</f>
        <v/>
      </c>
    </row>
    <row r="26">
      <c r="A26" t="inlineStr">
        <is>
          <t>INV-0025</t>
        </is>
      </c>
      <c r="B26" t="inlineStr">
        <is>
          <t>2025-07-28</t>
        </is>
      </c>
      <c r="C26" t="inlineStr">
        <is>
          <t>2025-08-12</t>
        </is>
      </c>
      <c r="D26" t="inlineStr">
        <is>
          <t>V008</t>
        </is>
      </c>
      <c r="E26" t="inlineStr">
        <is>
          <t>CloudWorks Software</t>
        </is>
      </c>
      <c r="F26" t="inlineStr">
        <is>
          <t>Software</t>
        </is>
      </c>
      <c r="G26" t="inlineStr">
        <is>
          <t>IT</t>
        </is>
      </c>
      <c r="H26" t="inlineStr">
        <is>
          <t>Cloud storage</t>
        </is>
      </c>
      <c r="I26" t="n">
        <v>14</v>
      </c>
      <c r="J26" t="n">
        <v>712.14</v>
      </c>
      <c r="K26" t="n">
        <v>9970</v>
      </c>
      <c r="L26" t="inlineStr">
        <is>
          <t>Paid</t>
        </is>
      </c>
      <c r="M26" t="inlineStr">
        <is>
          <t>2025-08-26</t>
        </is>
      </c>
      <c r="N26" t="inlineStr">
        <is>
          <t>UPI</t>
        </is>
      </c>
      <c r="O26">
        <f>XLOOKUP(D26,'Vendor Mapping'!$A:$A,'Vendor Mapping'!$C:$C,"Not Found")</f>
        <v/>
      </c>
      <c r="P26">
        <f>IF(COUNTIFS($D:$D,D26,$B:$B,B26,$K:$K,K26)&gt;1,"Duplicate","Unique")</f>
        <v/>
      </c>
      <c r="Q26">
        <f>TEXT(B26,"mmm")</f>
        <v/>
      </c>
    </row>
    <row r="27">
      <c r="A27" t="inlineStr">
        <is>
          <t>INV-0026</t>
        </is>
      </c>
      <c r="B27" t="inlineStr">
        <is>
          <t>2025-12-11</t>
        </is>
      </c>
      <c r="C27" t="inlineStr">
        <is>
          <t>2026-01-25</t>
        </is>
      </c>
      <c r="D27" t="inlineStr">
        <is>
          <t>V001</t>
        </is>
      </c>
      <c r="E27" t="inlineStr">
        <is>
          <t>ABC Office Supplies</t>
        </is>
      </c>
      <c r="F27" t="inlineStr">
        <is>
          <t>Office Supplies</t>
        </is>
      </c>
      <c r="G27" t="inlineStr">
        <is>
          <t>Administration</t>
        </is>
      </c>
      <c r="H27" t="inlineStr">
        <is>
          <t>Pens and stationery</t>
        </is>
      </c>
      <c r="I27" t="n">
        <v>11</v>
      </c>
      <c r="J27" t="n">
        <v>154.7</v>
      </c>
      <c r="K27" t="n">
        <v>1701.66</v>
      </c>
      <c r="L27" t="inlineStr">
        <is>
          <t>Overdue</t>
        </is>
      </c>
      <c r="O27">
        <f>XLOOKUP(D27,'Vendor Mapping'!$A:$A,'Vendor Mapping'!$C:$C,"Not Found")</f>
        <v/>
      </c>
      <c r="P27">
        <f>IF(COUNTIFS($D:$D,D27,$B:$B,B27,$K:$K,K27)&gt;1,"Duplicate","Unique")</f>
        <v/>
      </c>
      <c r="Q27">
        <f>TEXT(B27,"mmm")</f>
        <v/>
      </c>
    </row>
    <row r="28">
      <c r="A28" t="inlineStr">
        <is>
          <t>INV-0027</t>
        </is>
      </c>
      <c r="B28" t="inlineStr">
        <is>
          <t>2025-05-08</t>
        </is>
      </c>
      <c r="C28" t="inlineStr">
        <is>
          <t>2025-05-23</t>
        </is>
      </c>
      <c r="D28" t="inlineStr">
        <is>
          <t>V002</t>
        </is>
      </c>
      <c r="E28" t="inlineStr">
        <is>
          <t>Tech Solutions Ltd</t>
        </is>
      </c>
      <c r="F28" t="inlineStr">
        <is>
          <t>Software</t>
        </is>
      </c>
      <c r="G28" t="inlineStr">
        <is>
          <t>IT</t>
        </is>
      </c>
      <c r="H28" t="inlineStr">
        <is>
          <t>Cloud storage</t>
        </is>
      </c>
      <c r="I28" t="n">
        <v>6</v>
      </c>
      <c r="J28" t="n">
        <v>1144.51</v>
      </c>
      <c r="K28" t="n">
        <v>6867.05</v>
      </c>
      <c r="L28" t="inlineStr">
        <is>
          <t>Paid</t>
        </is>
      </c>
      <c r="M28" t="inlineStr">
        <is>
          <t>2025-05-28</t>
        </is>
      </c>
      <c r="N28" t="inlineStr">
        <is>
          <t>UPI</t>
        </is>
      </c>
      <c r="O28">
        <f>XLOOKUP(D28,'Vendor Mapping'!$A:$A,'Vendor Mapping'!$C:$C,"Not Found")</f>
        <v/>
      </c>
      <c r="P28">
        <f>IF(COUNTIFS($D:$D,D28,$B:$B,B28,$K:$K,K28)&gt;1,"Duplicate","Unique")</f>
        <v/>
      </c>
      <c r="Q28">
        <f>TEXT(B28,"mmm")</f>
        <v/>
      </c>
    </row>
    <row r="29">
      <c r="A29" t="inlineStr">
        <is>
          <t>INV-0028</t>
        </is>
      </c>
      <c r="B29" t="inlineStr">
        <is>
          <t>2025-02-08</t>
        </is>
      </c>
      <c r="C29" t="inlineStr">
        <is>
          <t>2025-03-10</t>
        </is>
      </c>
      <c r="D29" t="inlineStr">
        <is>
          <t>V004</t>
        </is>
      </c>
      <c r="E29" t="inlineStr">
        <is>
          <t>Bright Marketing Co</t>
        </is>
      </c>
      <c r="F29" t="inlineStr">
        <is>
          <t>Marketing</t>
        </is>
      </c>
      <c r="G29" t="inlineStr">
        <is>
          <t>Marketing</t>
        </is>
      </c>
      <c r="H29" t="inlineStr">
        <is>
          <t>Digital advertising</t>
        </is>
      </c>
      <c r="I29" t="n">
        <v>2</v>
      </c>
      <c r="J29" t="n">
        <v>6437.76</v>
      </c>
      <c r="K29" t="n">
        <v>12875.51</v>
      </c>
      <c r="L29" t="inlineStr">
        <is>
          <t>Pending</t>
        </is>
      </c>
      <c r="O29">
        <f>XLOOKUP(D29,'Vendor Mapping'!$A:$A,'Vendor Mapping'!$C:$C,"Not Found")</f>
        <v/>
      </c>
      <c r="P29">
        <f>IF(COUNTIFS($D:$D,D29,$B:$B,B29,$K:$K,K29)&gt;1,"Duplicate","Unique")</f>
        <v/>
      </c>
      <c r="Q29">
        <f>TEXT(B29,"mmm")</f>
        <v/>
      </c>
    </row>
    <row r="30">
      <c r="A30" t="inlineStr">
        <is>
          <t>INV-0029</t>
        </is>
      </c>
      <c r="B30" t="inlineStr">
        <is>
          <t>2025-01-08</t>
        </is>
      </c>
      <c r="C30" t="inlineStr">
        <is>
          <t>2025-01-23</t>
        </is>
      </c>
      <c r="D30" t="inlineStr">
        <is>
          <t>V009</t>
        </is>
      </c>
      <c r="E30" t="inlineStr">
        <is>
          <t>Prime Travel Services</t>
        </is>
      </c>
      <c r="F30" t="inlineStr">
        <is>
          <t>Travel</t>
        </is>
      </c>
      <c r="G30" t="inlineStr">
        <is>
          <t>Operations</t>
        </is>
      </c>
      <c r="H30" t="inlineStr">
        <is>
          <t>Flight booking</t>
        </is>
      </c>
      <c r="I30" t="n">
        <v>14</v>
      </c>
      <c r="J30" t="n">
        <v>912.02</v>
      </c>
      <c r="K30" t="n">
        <v>12768.26</v>
      </c>
      <c r="L30" t="inlineStr">
        <is>
          <t>Overdue</t>
        </is>
      </c>
      <c r="O30">
        <f>XLOOKUP(D30,'Vendor Mapping'!$A:$A,'Vendor Mapping'!$C:$C,"Not Found")</f>
        <v/>
      </c>
      <c r="P30">
        <f>IF(COUNTIFS($D:$D,D30,$B:$B,B30,$K:$K,K30)&gt;1,"Duplicate","Unique")</f>
        <v/>
      </c>
      <c r="Q30">
        <f>TEXT(B30,"mmm")</f>
        <v/>
      </c>
    </row>
    <row r="31">
      <c r="A31" t="inlineStr">
        <is>
          <t>INV-0030</t>
        </is>
      </c>
      <c r="B31" t="inlineStr">
        <is>
          <t>2025-09-04</t>
        </is>
      </c>
      <c r="C31" t="inlineStr">
        <is>
          <t>2025-09-19</t>
        </is>
      </c>
      <c r="D31" t="inlineStr">
        <is>
          <t>V008</t>
        </is>
      </c>
      <c r="E31" t="inlineStr">
        <is>
          <t>CloudWorks Software</t>
        </is>
      </c>
      <c r="F31" t="inlineStr">
        <is>
          <t>Software</t>
        </is>
      </c>
      <c r="G31" t="inlineStr">
        <is>
          <t>IT</t>
        </is>
      </c>
      <c r="H31" t="inlineStr">
        <is>
          <t>Software subscription</t>
        </is>
      </c>
      <c r="I31" t="n">
        <v>13</v>
      </c>
      <c r="J31" t="n">
        <v>1043.16</v>
      </c>
      <c r="K31" t="n">
        <v>13561.03</v>
      </c>
      <c r="L31" t="inlineStr">
        <is>
          <t>Overdue</t>
        </is>
      </c>
      <c r="O31">
        <f>XLOOKUP(D31,'Vendor Mapping'!$A:$A,'Vendor Mapping'!$C:$C,"Not Found")</f>
        <v/>
      </c>
      <c r="P31">
        <f>IF(COUNTIFS($D:$D,D31,$B:$B,B31,$K:$K,K31)&gt;1,"Duplicate","Unique")</f>
        <v/>
      </c>
      <c r="Q31">
        <f>TEXT(B31,"mmm")</f>
        <v/>
      </c>
    </row>
    <row r="32">
      <c r="A32" t="inlineStr">
        <is>
          <t>INV-0031</t>
        </is>
      </c>
      <c r="B32" t="inlineStr">
        <is>
          <t>2025-07-19</t>
        </is>
      </c>
      <c r="C32" t="inlineStr">
        <is>
          <t>2025-08-18</t>
        </is>
      </c>
      <c r="D32" t="inlineStr">
        <is>
          <t>V001</t>
        </is>
      </c>
      <c r="E32" t="inlineStr">
        <is>
          <t>ABC Office Supplies</t>
        </is>
      </c>
      <c r="F32" t="inlineStr">
        <is>
          <t>Office Supplies</t>
        </is>
      </c>
      <c r="G32" t="inlineStr">
        <is>
          <t>Administration</t>
        </is>
      </c>
      <c r="H32" t="inlineStr">
        <is>
          <t>Pens and stationery</t>
        </is>
      </c>
      <c r="I32" t="n">
        <v>14</v>
      </c>
      <c r="J32" t="n">
        <v>845.05</v>
      </c>
      <c r="K32" t="n">
        <v>11830.66</v>
      </c>
      <c r="L32" t="inlineStr">
        <is>
          <t>Overdue</t>
        </is>
      </c>
      <c r="O32">
        <f>XLOOKUP(D32,'Vendor Mapping'!$A:$A,'Vendor Mapping'!$C:$C,"Not Found")</f>
        <v/>
      </c>
      <c r="P32">
        <f>IF(COUNTIFS($D:$D,D32,$B:$B,B32,$K:$K,K32)&gt;1,"Duplicate","Unique")</f>
        <v/>
      </c>
      <c r="Q32">
        <f>TEXT(B32,"mmm")</f>
        <v/>
      </c>
    </row>
    <row r="33">
      <c r="A33" t="inlineStr">
        <is>
          <t>INV-0032</t>
        </is>
      </c>
      <c r="B33" t="inlineStr">
        <is>
          <t>2025-12-05</t>
        </is>
      </c>
      <c r="C33" t="inlineStr">
        <is>
          <t>2026-01-19</t>
        </is>
      </c>
      <c r="D33" t="inlineStr">
        <is>
          <t>V009</t>
        </is>
      </c>
      <c r="E33" t="inlineStr">
        <is>
          <t>Prime Travel Services</t>
        </is>
      </c>
      <c r="F33" t="inlineStr">
        <is>
          <t>Travel</t>
        </is>
      </c>
      <c r="G33" t="inlineStr">
        <is>
          <t>Operations</t>
        </is>
      </c>
      <c r="H33" t="inlineStr">
        <is>
          <t>Flight booking</t>
        </is>
      </c>
      <c r="I33" t="n">
        <v>2</v>
      </c>
      <c r="J33" t="n">
        <v>1525.49</v>
      </c>
      <c r="K33" t="n">
        <v>3050.99</v>
      </c>
      <c r="L33" t="inlineStr">
        <is>
          <t>Paid</t>
        </is>
      </c>
      <c r="M33" t="inlineStr">
        <is>
          <t>2025-12-11</t>
        </is>
      </c>
      <c r="N33" t="inlineStr">
        <is>
          <t>Cheque</t>
        </is>
      </c>
      <c r="O33">
        <f>XLOOKUP(D33,'Vendor Mapping'!$A:$A,'Vendor Mapping'!$C:$C,"Not Found")</f>
        <v/>
      </c>
      <c r="P33">
        <f>IF(COUNTIFS($D:$D,D33,$B:$B,B33,$K:$K,K33)&gt;1,"Duplicate","Unique")</f>
        <v/>
      </c>
      <c r="Q33">
        <f>TEXT(B33,"mmm")</f>
        <v/>
      </c>
    </row>
    <row r="34">
      <c r="A34" t="inlineStr">
        <is>
          <t>INV-0033</t>
        </is>
      </c>
      <c r="B34" t="inlineStr">
        <is>
          <t>2025-01-26</t>
        </is>
      </c>
      <c r="C34" t="inlineStr">
        <is>
          <t>2025-03-12</t>
        </is>
      </c>
      <c r="D34" t="inlineStr">
        <is>
          <t>V001</t>
        </is>
      </c>
      <c r="E34" t="inlineStr">
        <is>
          <t>ABC Office Supplies</t>
        </is>
      </c>
      <c r="F34" t="inlineStr">
        <is>
          <t>Office Supplies</t>
        </is>
      </c>
      <c r="G34" t="inlineStr">
        <is>
          <t>Administration</t>
        </is>
      </c>
      <c r="H34" t="inlineStr">
        <is>
          <t>Printer cartridges</t>
        </is>
      </c>
      <c r="I34" t="n">
        <v>6</v>
      </c>
      <c r="J34" t="n">
        <v>2301.83</v>
      </c>
      <c r="K34" t="n">
        <v>13810.96</v>
      </c>
      <c r="L34" t="inlineStr">
        <is>
          <t>Paid</t>
        </is>
      </c>
      <c r="M34" t="inlineStr">
        <is>
          <t>2025-02-01</t>
        </is>
      </c>
      <c r="N34" t="inlineStr">
        <is>
          <t>Bank Transfer</t>
        </is>
      </c>
      <c r="O34">
        <f>XLOOKUP(D34,'Vendor Mapping'!$A:$A,'Vendor Mapping'!$C:$C,"Not Found")</f>
        <v/>
      </c>
      <c r="P34">
        <f>IF(COUNTIFS($D:$D,D34,$B:$B,B34,$K:$K,K34)&gt;1,"Duplicate","Unique")</f>
        <v/>
      </c>
      <c r="Q34">
        <f>TEXT(B34,"mmm")</f>
        <v/>
      </c>
    </row>
    <row r="35">
      <c r="A35" t="inlineStr">
        <is>
          <t>INV-0034</t>
        </is>
      </c>
      <c r="B35" t="inlineStr">
        <is>
          <t>2025-02-05</t>
        </is>
      </c>
      <c r="C35" t="inlineStr">
        <is>
          <t>2025-03-22</t>
        </is>
      </c>
      <c r="D35" t="inlineStr">
        <is>
          <t>V003</t>
        </is>
      </c>
      <c r="E35" t="inlineStr">
        <is>
          <t>CleanPro Services</t>
        </is>
      </c>
      <c r="F35" t="inlineStr">
        <is>
          <t>Facilities</t>
        </is>
      </c>
      <c r="G35" t="inlineStr">
        <is>
          <t>Facilities</t>
        </is>
      </c>
      <c r="H35" t="inlineStr">
        <is>
          <t>Maintenance</t>
        </is>
      </c>
      <c r="I35" t="n">
        <v>4</v>
      </c>
      <c r="J35" t="n">
        <v>3240.46</v>
      </c>
      <c r="K35" t="n">
        <v>12961.83</v>
      </c>
      <c r="L35" t="inlineStr">
        <is>
          <t>Paid</t>
        </is>
      </c>
      <c r="M35" t="inlineStr">
        <is>
          <t>2025-02-23</t>
        </is>
      </c>
      <c r="N35" t="inlineStr">
        <is>
          <t>Bank Transfer</t>
        </is>
      </c>
      <c r="O35">
        <f>XLOOKUP(D35,'Vendor Mapping'!$A:$A,'Vendor Mapping'!$C:$C,"Not Found")</f>
        <v/>
      </c>
      <c r="P35">
        <f>IF(COUNTIFS($D:$D,D35,$B:$B,B35,$K:$K,K35)&gt;1,"Duplicate","Unique")</f>
        <v/>
      </c>
      <c r="Q35">
        <f>TEXT(B35,"mmm")</f>
        <v/>
      </c>
    </row>
    <row r="36">
      <c r="A36" t="inlineStr">
        <is>
          <t>INV-0035</t>
        </is>
      </c>
      <c r="B36" t="inlineStr">
        <is>
          <t>2025-02-11</t>
        </is>
      </c>
      <c r="C36" t="inlineStr">
        <is>
          <t>2025-03-13</t>
        </is>
      </c>
      <c r="D36" t="inlineStr">
        <is>
          <t>V010</t>
        </is>
      </c>
      <c r="E36" t="inlineStr">
        <is>
          <t>FreshBite Catering</t>
        </is>
      </c>
      <c r="F36" t="inlineStr">
        <is>
          <t>Office Supplies</t>
        </is>
      </c>
      <c r="G36" t="inlineStr">
        <is>
          <t>Administration</t>
        </is>
      </c>
      <c r="H36" t="inlineStr">
        <is>
          <t>Pens and stationery</t>
        </is>
      </c>
      <c r="I36" t="n">
        <v>9</v>
      </c>
      <c r="J36" t="n">
        <v>954.12</v>
      </c>
      <c r="K36" t="n">
        <v>8587.1</v>
      </c>
      <c r="L36" t="inlineStr">
        <is>
          <t>Pending</t>
        </is>
      </c>
      <c r="O36">
        <f>XLOOKUP(D36,'Vendor Mapping'!$A:$A,'Vendor Mapping'!$C:$C,"Not Found")</f>
        <v/>
      </c>
      <c r="P36">
        <f>IF(COUNTIFS($D:$D,D36,$B:$B,B36,$K:$K,K36)&gt;1,"Duplicate","Unique")</f>
        <v/>
      </c>
      <c r="Q36">
        <f>TEXT(B36,"mmm")</f>
        <v/>
      </c>
    </row>
    <row r="37">
      <c r="A37" t="inlineStr">
        <is>
          <t>INV-0036</t>
        </is>
      </c>
      <c r="B37" t="inlineStr">
        <is>
          <t>2025-12-09</t>
        </is>
      </c>
      <c r="C37" t="inlineStr">
        <is>
          <t>2026-01-23</t>
        </is>
      </c>
      <c r="D37" t="inlineStr">
        <is>
          <t>V004</t>
        </is>
      </c>
      <c r="E37" t="inlineStr">
        <is>
          <t>Bright Marketing Co</t>
        </is>
      </c>
      <c r="F37" t="inlineStr">
        <is>
          <t>Marketing</t>
        </is>
      </c>
      <c r="G37" t="inlineStr">
        <is>
          <t>Marketing</t>
        </is>
      </c>
      <c r="H37" t="inlineStr">
        <is>
          <t>Digital advertising</t>
        </is>
      </c>
      <c r="I37" t="n">
        <v>10</v>
      </c>
      <c r="J37" t="n">
        <v>416.78</v>
      </c>
      <c r="K37" t="n">
        <v>4167.81</v>
      </c>
      <c r="L37" t="inlineStr">
        <is>
          <t>Paid</t>
        </is>
      </c>
      <c r="M37" t="inlineStr">
        <is>
          <t>2026-01-10</t>
        </is>
      </c>
      <c r="N37" t="inlineStr">
        <is>
          <t>Cheque</t>
        </is>
      </c>
      <c r="O37">
        <f>XLOOKUP(D37,'Vendor Mapping'!$A:$A,'Vendor Mapping'!$C:$C,"Not Found")</f>
        <v/>
      </c>
      <c r="P37">
        <f>IF(COUNTIFS($D:$D,D37,$B:$B,B37,$K:$K,K37)&gt;1,"Duplicate","Unique")</f>
        <v/>
      </c>
      <c r="Q37">
        <f>TEXT(B37,"mmm")</f>
        <v/>
      </c>
    </row>
    <row r="38">
      <c r="A38" t="inlineStr">
        <is>
          <t>INV-0037</t>
        </is>
      </c>
      <c r="B38" t="inlineStr">
        <is>
          <t>2025-01-05</t>
        </is>
      </c>
      <c r="C38" t="inlineStr">
        <is>
          <t>2025-02-04</t>
        </is>
      </c>
      <c r="D38" t="inlineStr">
        <is>
          <t>V002</t>
        </is>
      </c>
      <c r="E38" t="inlineStr">
        <is>
          <t>Tech Solutions Ltd</t>
        </is>
      </c>
      <c r="F38" t="inlineStr">
        <is>
          <t>Software</t>
        </is>
      </c>
      <c r="G38" t="inlineStr">
        <is>
          <t>IT</t>
        </is>
      </c>
      <c r="H38" t="inlineStr">
        <is>
          <t>Software subscription</t>
        </is>
      </c>
      <c r="I38" t="n">
        <v>3</v>
      </c>
      <c r="J38" t="n">
        <v>2851.39</v>
      </c>
      <c r="K38" t="n">
        <v>8554.16</v>
      </c>
      <c r="L38" t="inlineStr">
        <is>
          <t>Pending</t>
        </is>
      </c>
      <c r="O38">
        <f>XLOOKUP(D38,'Vendor Mapping'!$A:$A,'Vendor Mapping'!$C:$C,"Not Found")</f>
        <v/>
      </c>
      <c r="P38">
        <f>IF(COUNTIFS($D:$D,D38,$B:$B,B38,$K:$K,K38)&gt;1,"Duplicate","Unique")</f>
        <v/>
      </c>
      <c r="Q38">
        <f>TEXT(B38,"mmm")</f>
        <v/>
      </c>
    </row>
    <row r="39">
      <c r="A39" t="inlineStr">
        <is>
          <t>INV-0038</t>
        </is>
      </c>
      <c r="B39" t="inlineStr">
        <is>
          <t>2025-04-20</t>
        </is>
      </c>
      <c r="C39" t="inlineStr">
        <is>
          <t>2025-06-04</t>
        </is>
      </c>
      <c r="D39" t="inlineStr">
        <is>
          <t>V009</t>
        </is>
      </c>
      <c r="E39" t="inlineStr">
        <is>
          <t>Prime Travel Services</t>
        </is>
      </c>
      <c r="F39" t="inlineStr">
        <is>
          <t>Travel</t>
        </is>
      </c>
      <c r="G39" t="inlineStr">
        <is>
          <t>Operations</t>
        </is>
      </c>
      <c r="H39" t="inlineStr">
        <is>
          <t>Flight booking</t>
        </is>
      </c>
      <c r="I39" t="n">
        <v>8</v>
      </c>
      <c r="J39" t="n">
        <v>1751.95</v>
      </c>
      <c r="K39" t="n">
        <v>14015.58</v>
      </c>
      <c r="L39" t="inlineStr">
        <is>
          <t>Paid</t>
        </is>
      </c>
      <c r="M39" t="inlineStr">
        <is>
          <t>2025-05-16</t>
        </is>
      </c>
      <c r="N39" t="inlineStr">
        <is>
          <t>Cheque</t>
        </is>
      </c>
      <c r="O39">
        <f>XLOOKUP(D39,'Vendor Mapping'!$A:$A,'Vendor Mapping'!$C:$C,"Not Found")</f>
        <v/>
      </c>
      <c r="P39">
        <f>IF(COUNTIFS($D:$D,D39,$B:$B,B39,$K:$K,K39)&gt;1,"Duplicate","Unique")</f>
        <v/>
      </c>
      <c r="Q39">
        <f>TEXT(B39,"mmm")</f>
        <v/>
      </c>
    </row>
    <row r="40">
      <c r="A40" t="inlineStr">
        <is>
          <t>INV-0039</t>
        </is>
      </c>
      <c r="B40" t="inlineStr">
        <is>
          <t>2025-08-13</t>
        </is>
      </c>
      <c r="C40" t="inlineStr">
        <is>
          <t>2025-09-27</t>
        </is>
      </c>
      <c r="D40" t="inlineStr">
        <is>
          <t>V003</t>
        </is>
      </c>
      <c r="E40" t="inlineStr">
        <is>
          <t>CleanPro Services</t>
        </is>
      </c>
      <c r="F40" t="inlineStr">
        <is>
          <t>Facilities</t>
        </is>
      </c>
      <c r="G40" t="inlineStr">
        <is>
          <t>Facilities</t>
        </is>
      </c>
      <c r="H40" t="inlineStr">
        <is>
          <t>Security service</t>
        </is>
      </c>
      <c r="I40" t="n">
        <v>17</v>
      </c>
      <c r="J40" t="n">
        <v>545.4299999999999</v>
      </c>
      <c r="K40" t="n">
        <v>9272.25</v>
      </c>
      <c r="L40" t="inlineStr">
        <is>
          <t>Pending</t>
        </is>
      </c>
      <c r="O40">
        <f>XLOOKUP(D40,'Vendor Mapping'!$A:$A,'Vendor Mapping'!$C:$C,"Not Found")</f>
        <v/>
      </c>
      <c r="P40">
        <f>IF(COUNTIFS($D:$D,D40,$B:$B,B40,$K:$K,K40)&gt;1,"Duplicate","Unique")</f>
        <v/>
      </c>
      <c r="Q40">
        <f>TEXT(B40,"mmm")</f>
        <v/>
      </c>
    </row>
    <row r="41">
      <c r="A41" t="inlineStr">
        <is>
          <t>INV-0040</t>
        </is>
      </c>
      <c r="B41" t="inlineStr">
        <is>
          <t>2025-12-08</t>
        </is>
      </c>
      <c r="C41" t="inlineStr">
        <is>
          <t>2026-01-22</t>
        </is>
      </c>
      <c r="D41" t="inlineStr">
        <is>
          <t>V001</t>
        </is>
      </c>
      <c r="E41" t="inlineStr">
        <is>
          <t>ABC Office Supplies</t>
        </is>
      </c>
      <c r="F41" t="inlineStr">
        <is>
          <t>Office Supplies</t>
        </is>
      </c>
      <c r="G41" t="inlineStr">
        <is>
          <t>Administration</t>
        </is>
      </c>
      <c r="H41" t="inlineStr">
        <is>
          <t>Printer paper</t>
        </is>
      </c>
      <c r="I41" t="n">
        <v>9</v>
      </c>
      <c r="J41" t="n">
        <v>1115</v>
      </c>
      <c r="K41" t="n">
        <v>10034.98</v>
      </c>
      <c r="L41" t="inlineStr">
        <is>
          <t>Paid</t>
        </is>
      </c>
      <c r="M41" t="inlineStr">
        <is>
          <t>2025-12-18</t>
        </is>
      </c>
      <c r="N41" t="inlineStr">
        <is>
          <t>Bank Transfer</t>
        </is>
      </c>
      <c r="O41">
        <f>XLOOKUP(D41,'Vendor Mapping'!$A:$A,'Vendor Mapping'!$C:$C,"Not Found")</f>
        <v/>
      </c>
      <c r="P41">
        <f>IF(COUNTIFS($D:$D,D41,$B:$B,B41,$K:$K,K41)&gt;1,"Duplicate","Unique")</f>
        <v/>
      </c>
      <c r="Q41">
        <f>TEXT(B41,"mmm")</f>
        <v/>
      </c>
    </row>
    <row r="42">
      <c r="A42" t="inlineStr">
        <is>
          <t>INV-0041</t>
        </is>
      </c>
      <c r="B42" t="inlineStr">
        <is>
          <t>2025-03-21</t>
        </is>
      </c>
      <c r="C42" t="inlineStr">
        <is>
          <t>2025-04-20</t>
        </is>
      </c>
      <c r="D42" t="inlineStr">
        <is>
          <t>V009</t>
        </is>
      </c>
      <c r="E42" t="inlineStr">
        <is>
          <t>Prime Travel Services</t>
        </is>
      </c>
      <c r="F42" t="inlineStr">
        <is>
          <t>Travel</t>
        </is>
      </c>
      <c r="G42" t="inlineStr">
        <is>
          <t>Operations</t>
        </is>
      </c>
      <c r="H42" t="inlineStr">
        <is>
          <t>Hotel accommodation</t>
        </is>
      </c>
      <c r="I42" t="n">
        <v>7</v>
      </c>
      <c r="J42" t="n">
        <v>479.54</v>
      </c>
      <c r="K42" t="n">
        <v>3356.79</v>
      </c>
      <c r="L42" t="inlineStr">
        <is>
          <t>Paid</t>
        </is>
      </c>
      <c r="M42" t="inlineStr">
        <is>
          <t>2025-04-09</t>
        </is>
      </c>
      <c r="N42" t="inlineStr">
        <is>
          <t>UPI</t>
        </is>
      </c>
      <c r="O42">
        <f>XLOOKUP(D42,'Vendor Mapping'!$A:$A,'Vendor Mapping'!$C:$C,"Not Found")</f>
        <v/>
      </c>
      <c r="P42">
        <f>IF(COUNTIFS($D:$D,D42,$B:$B,B42,$K:$K,K42)&gt;1,"Duplicate","Unique")</f>
        <v/>
      </c>
      <c r="Q42">
        <f>TEXT(B42,"mmm")</f>
        <v/>
      </c>
    </row>
    <row r="43">
      <c r="A43" t="inlineStr">
        <is>
          <t>INV-0042</t>
        </is>
      </c>
      <c r="B43" t="inlineStr">
        <is>
          <t>2025-01-27</t>
        </is>
      </c>
      <c r="C43" t="inlineStr">
        <is>
          <t>2025-02-11</t>
        </is>
      </c>
      <c r="D43" t="inlineStr">
        <is>
          <t>V005</t>
        </is>
      </c>
      <c r="E43" t="inlineStr">
        <is>
          <t>Metro Logistics</t>
        </is>
      </c>
      <c r="F43" t="inlineStr">
        <is>
          <t>Logistics</t>
        </is>
      </c>
      <c r="G43" t="inlineStr">
        <is>
          <t>Operations</t>
        </is>
      </c>
      <c r="H43" t="inlineStr">
        <is>
          <t>Courier service</t>
        </is>
      </c>
      <c r="I43" t="n">
        <v>1</v>
      </c>
      <c r="J43" t="n">
        <v>12482.88</v>
      </c>
      <c r="K43" t="n">
        <v>12482.88</v>
      </c>
      <c r="L43" t="inlineStr">
        <is>
          <t>Pending</t>
        </is>
      </c>
      <c r="O43">
        <f>XLOOKUP(D43,'Vendor Mapping'!$A:$A,'Vendor Mapping'!$C:$C,"Not Found")</f>
        <v/>
      </c>
      <c r="P43">
        <f>IF(COUNTIFS($D:$D,D43,$B:$B,B43,$K:$K,K43)&gt;1,"Duplicate","Unique")</f>
        <v/>
      </c>
      <c r="Q43">
        <f>TEXT(B43,"mmm")</f>
        <v/>
      </c>
    </row>
    <row r="44">
      <c r="A44" t="inlineStr">
        <is>
          <t>INV-0043</t>
        </is>
      </c>
      <c r="B44" t="inlineStr">
        <is>
          <t>2025-03-08</t>
        </is>
      </c>
      <c r="C44" t="inlineStr">
        <is>
          <t>2025-04-22</t>
        </is>
      </c>
      <c r="D44" t="inlineStr">
        <is>
          <t>V006</t>
        </is>
      </c>
      <c r="E44" t="inlineStr">
        <is>
          <t>PeopleFirst HR Services</t>
        </is>
      </c>
      <c r="F44" t="inlineStr">
        <is>
          <t>HR Services</t>
        </is>
      </c>
      <c r="G44" t="inlineStr">
        <is>
          <t>HR</t>
        </is>
      </c>
      <c r="H44" t="inlineStr">
        <is>
          <t>Training service</t>
        </is>
      </c>
      <c r="I44" t="n">
        <v>18</v>
      </c>
      <c r="J44" t="n">
        <v>146.3</v>
      </c>
      <c r="K44" t="n">
        <v>2633.33</v>
      </c>
      <c r="L44" t="inlineStr">
        <is>
          <t>Overdue</t>
        </is>
      </c>
      <c r="O44">
        <f>XLOOKUP(D44,'Vendor Mapping'!$A:$A,'Vendor Mapping'!$C:$C,"Not Found")</f>
        <v/>
      </c>
      <c r="P44">
        <f>IF(COUNTIFS($D:$D,D44,$B:$B,B44,$K:$K,K44)&gt;1,"Duplicate","Unique")</f>
        <v/>
      </c>
      <c r="Q44">
        <f>TEXT(B44,"mmm")</f>
        <v/>
      </c>
    </row>
    <row r="45">
      <c r="A45" t="inlineStr">
        <is>
          <t>INV-0044</t>
        </is>
      </c>
      <c r="B45" t="inlineStr">
        <is>
          <t>2025-10-15</t>
        </is>
      </c>
      <c r="C45" t="inlineStr">
        <is>
          <t>2025-10-30</t>
        </is>
      </c>
      <c r="D45" t="inlineStr">
        <is>
          <t>V007</t>
        </is>
      </c>
      <c r="E45" t="inlineStr">
        <is>
          <t>SafeGuard Security</t>
        </is>
      </c>
      <c r="F45" t="inlineStr">
        <is>
          <t>Facilities</t>
        </is>
      </c>
      <c r="G45" t="inlineStr">
        <is>
          <t>Facilities</t>
        </is>
      </c>
      <c r="H45" t="inlineStr">
        <is>
          <t>Security service</t>
        </is>
      </c>
      <c r="I45" t="n">
        <v>5</v>
      </c>
      <c r="J45" t="n">
        <v>2837.9</v>
      </c>
      <c r="K45" t="n">
        <v>14189.5</v>
      </c>
      <c r="L45" t="inlineStr">
        <is>
          <t>Paid</t>
        </is>
      </c>
      <c r="M45" t="inlineStr">
        <is>
          <t>2025-10-20</t>
        </is>
      </c>
      <c r="N45" t="inlineStr">
        <is>
          <t>Cheque</t>
        </is>
      </c>
      <c r="O45">
        <f>XLOOKUP(D45,'Vendor Mapping'!$A:$A,'Vendor Mapping'!$C:$C,"Not Found")</f>
        <v/>
      </c>
      <c r="P45">
        <f>IF(COUNTIFS($D:$D,D45,$B:$B,B45,$K:$K,K45)&gt;1,"Duplicate","Unique")</f>
        <v/>
      </c>
      <c r="Q45">
        <f>TEXT(B45,"mmm")</f>
        <v/>
      </c>
    </row>
    <row r="46">
      <c r="A46" t="inlineStr">
        <is>
          <t>INV-0045</t>
        </is>
      </c>
      <c r="B46" t="inlineStr">
        <is>
          <t>2025-10-10</t>
        </is>
      </c>
      <c r="C46" t="inlineStr">
        <is>
          <t>2025-10-25</t>
        </is>
      </c>
      <c r="D46" t="inlineStr">
        <is>
          <t>V010</t>
        </is>
      </c>
      <c r="E46" t="inlineStr">
        <is>
          <t>FreshBite Catering</t>
        </is>
      </c>
      <c r="F46" t="inlineStr">
        <is>
          <t>Office Supplies</t>
        </is>
      </c>
      <c r="G46" t="inlineStr">
        <is>
          <t>Administration</t>
        </is>
      </c>
      <c r="H46" t="inlineStr">
        <is>
          <t>Pens and stationery</t>
        </is>
      </c>
      <c r="I46" t="n">
        <v>2</v>
      </c>
      <c r="J46" t="n">
        <v>433.49</v>
      </c>
      <c r="K46" t="n">
        <v>866.98</v>
      </c>
      <c r="L46" t="inlineStr">
        <is>
          <t>Paid</t>
        </is>
      </c>
      <c r="M46" t="inlineStr">
        <is>
          <t>2025-11-04</t>
        </is>
      </c>
      <c r="N46" t="inlineStr">
        <is>
          <t>Credit Card</t>
        </is>
      </c>
      <c r="O46">
        <f>XLOOKUP(D46,'Vendor Mapping'!$A:$A,'Vendor Mapping'!$C:$C,"Not Found")</f>
        <v/>
      </c>
      <c r="P46">
        <f>IF(COUNTIFS($D:$D,D46,$B:$B,B46,$K:$K,K46)&gt;1,"Duplicate","Unique")</f>
        <v/>
      </c>
      <c r="Q46">
        <f>TEXT(B46,"mmm")</f>
        <v/>
      </c>
    </row>
    <row r="47">
      <c r="A47" t="inlineStr">
        <is>
          <t>INV-0046</t>
        </is>
      </c>
      <c r="B47" t="inlineStr">
        <is>
          <t>2025-12-08</t>
        </is>
      </c>
      <c r="C47" t="inlineStr">
        <is>
          <t>2025-12-23</t>
        </is>
      </c>
      <c r="D47" t="inlineStr">
        <is>
          <t>V004</t>
        </is>
      </c>
      <c r="E47" t="inlineStr">
        <is>
          <t>Bright Marketing Co</t>
        </is>
      </c>
      <c r="F47" t="inlineStr">
        <is>
          <t>Marketing</t>
        </is>
      </c>
      <c r="G47" t="inlineStr">
        <is>
          <t>Marketing</t>
        </is>
      </c>
      <c r="H47" t="inlineStr">
        <is>
          <t>Printing and promotion</t>
        </is>
      </c>
      <c r="I47" t="n">
        <v>20</v>
      </c>
      <c r="J47" t="n">
        <v>425.41</v>
      </c>
      <c r="K47" t="n">
        <v>8508.280000000001</v>
      </c>
      <c r="L47" t="inlineStr">
        <is>
          <t>Paid</t>
        </is>
      </c>
      <c r="M47" t="inlineStr">
        <is>
          <t>2025-12-20</t>
        </is>
      </c>
      <c r="N47" t="inlineStr">
        <is>
          <t>Credit Card</t>
        </is>
      </c>
      <c r="O47">
        <f>XLOOKUP(D47,'Vendor Mapping'!$A:$A,'Vendor Mapping'!$C:$C,"Not Found")</f>
        <v/>
      </c>
      <c r="P47">
        <f>IF(COUNTIFS($D:$D,D47,$B:$B,B47,$K:$K,K47)&gt;1,"Duplicate","Unique")</f>
        <v/>
      </c>
      <c r="Q47">
        <f>TEXT(B47,"mmm")</f>
        <v/>
      </c>
    </row>
    <row r="48">
      <c r="A48" t="inlineStr">
        <is>
          <t>INV-0047</t>
        </is>
      </c>
      <c r="B48" t="inlineStr">
        <is>
          <t>2025-04-01</t>
        </is>
      </c>
      <c r="C48" t="inlineStr">
        <is>
          <t>2025-05-01</t>
        </is>
      </c>
      <c r="D48" t="inlineStr">
        <is>
          <t>V003</t>
        </is>
      </c>
      <c r="E48" t="inlineStr">
        <is>
          <t>CleanPro Services</t>
        </is>
      </c>
      <c r="F48" t="inlineStr">
        <is>
          <t>Facilities</t>
        </is>
      </c>
      <c r="G48" t="inlineStr">
        <is>
          <t>Facilities</t>
        </is>
      </c>
      <c r="H48" t="inlineStr">
        <is>
          <t>Maintenance</t>
        </is>
      </c>
      <c r="I48" t="n">
        <v>14</v>
      </c>
      <c r="J48" t="n">
        <v>793.88</v>
      </c>
      <c r="K48" t="n">
        <v>11114.33</v>
      </c>
      <c r="L48" t="inlineStr">
        <is>
          <t>Paid</t>
        </is>
      </c>
      <c r="M48" t="inlineStr">
        <is>
          <t>2025-04-19</t>
        </is>
      </c>
      <c r="N48" t="inlineStr">
        <is>
          <t>Cheque</t>
        </is>
      </c>
      <c r="O48">
        <f>XLOOKUP(D48,'Vendor Mapping'!$A:$A,'Vendor Mapping'!$C:$C,"Not Found")</f>
        <v/>
      </c>
      <c r="P48">
        <f>IF(COUNTIFS($D:$D,D48,$B:$B,B48,$K:$K,K48)&gt;1,"Duplicate","Unique")</f>
        <v/>
      </c>
      <c r="Q48">
        <f>TEXT(B48,"mmm")</f>
        <v/>
      </c>
    </row>
    <row r="49">
      <c r="A49" t="inlineStr">
        <is>
          <t>INV-0048</t>
        </is>
      </c>
      <c r="B49" t="inlineStr">
        <is>
          <t>2025-12-26</t>
        </is>
      </c>
      <c r="C49" t="inlineStr">
        <is>
          <t>2026-01-10</t>
        </is>
      </c>
      <c r="D49" t="inlineStr">
        <is>
          <t>V003</t>
        </is>
      </c>
      <c r="E49" t="inlineStr">
        <is>
          <t>CleanPro Services</t>
        </is>
      </c>
      <c r="F49" t="inlineStr">
        <is>
          <t>Facilities</t>
        </is>
      </c>
      <c r="G49" t="inlineStr">
        <is>
          <t>Facilities</t>
        </is>
      </c>
      <c r="H49" t="inlineStr">
        <is>
          <t>Maintenance</t>
        </is>
      </c>
      <c r="I49" t="n">
        <v>8</v>
      </c>
      <c r="J49" t="n">
        <v>102.65</v>
      </c>
      <c r="K49" t="n">
        <v>821.1900000000001</v>
      </c>
      <c r="L49" t="inlineStr">
        <is>
          <t>Paid</t>
        </is>
      </c>
      <c r="M49" t="inlineStr">
        <is>
          <t>2026-01-10</t>
        </is>
      </c>
      <c r="N49" t="inlineStr">
        <is>
          <t>UPI</t>
        </is>
      </c>
      <c r="O49">
        <f>XLOOKUP(D49,'Vendor Mapping'!$A:$A,'Vendor Mapping'!$C:$C,"Not Found")</f>
        <v/>
      </c>
      <c r="P49">
        <f>IF(COUNTIFS($D:$D,D49,$B:$B,B49,$K:$K,K49)&gt;1,"Duplicate","Unique")</f>
        <v/>
      </c>
      <c r="Q49">
        <f>TEXT(B49,"mmm")</f>
        <v/>
      </c>
    </row>
    <row r="50">
      <c r="A50" t="inlineStr">
        <is>
          <t>INV-0049</t>
        </is>
      </c>
      <c r="B50" t="inlineStr">
        <is>
          <t>2025-06-06</t>
        </is>
      </c>
      <c r="C50" t="inlineStr">
        <is>
          <t>2025-06-21</t>
        </is>
      </c>
      <c r="D50" t="inlineStr">
        <is>
          <t>V006</t>
        </is>
      </c>
      <c r="E50" t="inlineStr">
        <is>
          <t>PeopleFirst HR Services</t>
        </is>
      </c>
      <c r="F50" t="inlineStr">
        <is>
          <t>HR Services</t>
        </is>
      </c>
      <c r="G50" t="inlineStr">
        <is>
          <t>HR</t>
        </is>
      </c>
      <c r="H50" t="inlineStr">
        <is>
          <t>Training service</t>
        </is>
      </c>
      <c r="I50" t="n">
        <v>11</v>
      </c>
      <c r="J50" t="n">
        <v>907.77</v>
      </c>
      <c r="K50" t="n">
        <v>9985.49</v>
      </c>
      <c r="L50" t="inlineStr">
        <is>
          <t>Paid</t>
        </is>
      </c>
      <c r="M50" t="inlineStr">
        <is>
          <t>2025-06-26</t>
        </is>
      </c>
      <c r="N50" t="inlineStr">
        <is>
          <t>Bank Transfer</t>
        </is>
      </c>
      <c r="O50">
        <f>XLOOKUP(D50,'Vendor Mapping'!$A:$A,'Vendor Mapping'!$C:$C,"Not Found")</f>
        <v/>
      </c>
      <c r="P50">
        <f>IF(COUNTIFS($D:$D,D50,$B:$B,B50,$K:$K,K50)&gt;1,"Duplicate","Unique")</f>
        <v/>
      </c>
      <c r="Q50">
        <f>TEXT(B50,"mmm")</f>
        <v/>
      </c>
    </row>
    <row r="51">
      <c r="A51" t="inlineStr">
        <is>
          <t>INV-0050</t>
        </is>
      </c>
      <c r="B51" t="inlineStr">
        <is>
          <t>2025-06-29</t>
        </is>
      </c>
      <c r="C51" t="inlineStr">
        <is>
          <t>2025-08-13</t>
        </is>
      </c>
      <c r="D51" t="inlineStr">
        <is>
          <t>V005</t>
        </is>
      </c>
      <c r="E51" t="inlineStr">
        <is>
          <t>Metro Logistics</t>
        </is>
      </c>
      <c r="F51" t="inlineStr">
        <is>
          <t>Logistics</t>
        </is>
      </c>
      <c r="G51" t="inlineStr">
        <is>
          <t>Operations</t>
        </is>
      </c>
      <c r="H51" t="inlineStr">
        <is>
          <t>Delivery service</t>
        </is>
      </c>
      <c r="I51" t="n">
        <v>11</v>
      </c>
      <c r="J51" t="n">
        <v>933.9</v>
      </c>
      <c r="K51" t="n">
        <v>10272.89</v>
      </c>
      <c r="L51" t="inlineStr">
        <is>
          <t>Paid</t>
        </is>
      </c>
      <c r="M51" t="inlineStr">
        <is>
          <t>2025-07-03</t>
        </is>
      </c>
      <c r="N51" t="inlineStr">
        <is>
          <t>Bank Transfer</t>
        </is>
      </c>
      <c r="O51">
        <f>XLOOKUP(D51,'Vendor Mapping'!$A:$A,'Vendor Mapping'!$C:$C,"Not Found")</f>
        <v/>
      </c>
      <c r="P51">
        <f>IF(COUNTIFS($D:$D,D51,$B:$B,B51,$K:$K,K51)&gt;1,"Duplicate","Unique")</f>
        <v/>
      </c>
      <c r="Q51">
        <f>TEXT(B51,"mmm")</f>
        <v/>
      </c>
    </row>
    <row r="52">
      <c r="A52" t="inlineStr">
        <is>
          <t>INV-0051</t>
        </is>
      </c>
      <c r="B52" t="inlineStr">
        <is>
          <t>2025-04-02</t>
        </is>
      </c>
      <c r="C52" t="inlineStr">
        <is>
          <t>2025-05-17</t>
        </is>
      </c>
      <c r="D52" t="inlineStr">
        <is>
          <t>V005</t>
        </is>
      </c>
      <c r="E52" t="inlineStr">
        <is>
          <t>Metro Logistics</t>
        </is>
      </c>
      <c r="F52" t="inlineStr">
        <is>
          <t>Logistics</t>
        </is>
      </c>
      <c r="G52" t="inlineStr">
        <is>
          <t>Operations</t>
        </is>
      </c>
      <c r="H52" t="inlineStr">
        <is>
          <t>Courier service</t>
        </is>
      </c>
      <c r="I52" t="n">
        <v>20</v>
      </c>
      <c r="J52" t="n">
        <v>208.28</v>
      </c>
      <c r="K52" t="n">
        <v>4165.63</v>
      </c>
      <c r="L52" t="inlineStr">
        <is>
          <t>Overdue</t>
        </is>
      </c>
      <c r="O52">
        <f>XLOOKUP(D52,'Vendor Mapping'!$A:$A,'Vendor Mapping'!$C:$C,"Not Found")</f>
        <v/>
      </c>
      <c r="P52">
        <f>IF(COUNTIFS($D:$D,D52,$B:$B,B52,$K:$K,K52)&gt;1,"Duplicate","Unique")</f>
        <v/>
      </c>
      <c r="Q52">
        <f>TEXT(B52,"mmm")</f>
        <v/>
      </c>
    </row>
    <row r="53">
      <c r="A53" t="inlineStr">
        <is>
          <t>INV-0052</t>
        </is>
      </c>
      <c r="B53" t="inlineStr">
        <is>
          <t>2025-06-26</t>
        </is>
      </c>
      <c r="C53" t="inlineStr">
        <is>
          <t>2025-08-10</t>
        </is>
      </c>
      <c r="D53" t="inlineStr">
        <is>
          <t>V007</t>
        </is>
      </c>
      <c r="E53" t="inlineStr">
        <is>
          <t>SafeGuard Security</t>
        </is>
      </c>
      <c r="F53" t="inlineStr">
        <is>
          <t>Facilities</t>
        </is>
      </c>
      <c r="G53" t="inlineStr">
        <is>
          <t>Facilities</t>
        </is>
      </c>
      <c r="H53" t="inlineStr">
        <is>
          <t>Security service</t>
        </is>
      </c>
      <c r="I53" t="n">
        <v>4</v>
      </c>
      <c r="J53" t="n">
        <v>1671.7</v>
      </c>
      <c r="K53" t="n">
        <v>6686.81</v>
      </c>
      <c r="L53" t="inlineStr">
        <is>
          <t>Pending</t>
        </is>
      </c>
      <c r="O53">
        <f>XLOOKUP(D53,'Vendor Mapping'!$A:$A,'Vendor Mapping'!$C:$C,"Not Found")</f>
        <v/>
      </c>
      <c r="P53">
        <f>IF(COUNTIFS($D:$D,D53,$B:$B,B53,$K:$K,K53)&gt;1,"Duplicate","Unique")</f>
        <v/>
      </c>
      <c r="Q53">
        <f>TEXT(B53,"mmm")</f>
        <v/>
      </c>
    </row>
    <row r="54">
      <c r="A54" t="inlineStr">
        <is>
          <t>INV-0053</t>
        </is>
      </c>
      <c r="B54" t="inlineStr">
        <is>
          <t>2025-10-23</t>
        </is>
      </c>
      <c r="C54" t="inlineStr">
        <is>
          <t>2025-11-07</t>
        </is>
      </c>
      <c r="D54" t="inlineStr">
        <is>
          <t>V007</t>
        </is>
      </c>
      <c r="E54" t="inlineStr">
        <is>
          <t>SafeGuard Security</t>
        </is>
      </c>
      <c r="F54" t="inlineStr">
        <is>
          <t>Facilities</t>
        </is>
      </c>
      <c r="G54" t="inlineStr">
        <is>
          <t>Facilities</t>
        </is>
      </c>
      <c r="H54" t="inlineStr">
        <is>
          <t>Cleaning service</t>
        </is>
      </c>
      <c r="I54" t="n">
        <v>17</v>
      </c>
      <c r="J54" t="n">
        <v>629.6799999999999</v>
      </c>
      <c r="K54" t="n">
        <v>10704.58</v>
      </c>
      <c r="L54" t="inlineStr">
        <is>
          <t>Paid</t>
        </is>
      </c>
      <c r="M54" t="inlineStr">
        <is>
          <t>2025-11-07</t>
        </is>
      </c>
      <c r="N54" t="inlineStr">
        <is>
          <t>Cheque</t>
        </is>
      </c>
      <c r="O54">
        <f>XLOOKUP(D54,'Vendor Mapping'!$A:$A,'Vendor Mapping'!$C:$C,"Not Found")</f>
        <v/>
      </c>
      <c r="P54">
        <f>IF(COUNTIFS($D:$D,D54,$B:$B,B54,$K:$K,K54)&gt;1,"Duplicate","Unique")</f>
        <v/>
      </c>
      <c r="Q54">
        <f>TEXT(B54,"mmm")</f>
        <v/>
      </c>
    </row>
    <row r="55">
      <c r="A55" t="inlineStr">
        <is>
          <t>INV-0054</t>
        </is>
      </c>
      <c r="B55" t="inlineStr">
        <is>
          <t>2025-02-05</t>
        </is>
      </c>
      <c r="C55" t="inlineStr">
        <is>
          <t>2025-03-22</t>
        </is>
      </c>
      <c r="D55" t="inlineStr">
        <is>
          <t>V007</t>
        </is>
      </c>
      <c r="E55" t="inlineStr">
        <is>
          <t>SafeGuard Security</t>
        </is>
      </c>
      <c r="F55" t="inlineStr">
        <is>
          <t>Facilities</t>
        </is>
      </c>
      <c r="G55" t="inlineStr">
        <is>
          <t>Facilities</t>
        </is>
      </c>
      <c r="H55" t="inlineStr">
        <is>
          <t>Security service</t>
        </is>
      </c>
      <c r="I55" t="n">
        <v>4</v>
      </c>
      <c r="J55" t="n">
        <v>2360.39</v>
      </c>
      <c r="K55" t="n">
        <v>9441.540000000001</v>
      </c>
      <c r="L55" t="inlineStr">
        <is>
          <t>Overdue</t>
        </is>
      </c>
      <c r="O55">
        <f>XLOOKUP(D55,'Vendor Mapping'!$A:$A,'Vendor Mapping'!$C:$C,"Not Found")</f>
        <v/>
      </c>
      <c r="P55">
        <f>IF(COUNTIFS($D:$D,D55,$B:$B,B55,$K:$K,K55)&gt;1,"Duplicate","Unique")</f>
        <v/>
      </c>
      <c r="Q55">
        <f>TEXT(B55,"mmm")</f>
        <v/>
      </c>
    </row>
    <row r="56">
      <c r="A56" t="inlineStr">
        <is>
          <t>INV-0055</t>
        </is>
      </c>
      <c r="B56" t="inlineStr">
        <is>
          <t>2025-09-17</t>
        </is>
      </c>
      <c r="C56" t="inlineStr">
        <is>
          <t>2025-10-17</t>
        </is>
      </c>
      <c r="D56" t="inlineStr">
        <is>
          <t>V005</t>
        </is>
      </c>
      <c r="E56" t="inlineStr">
        <is>
          <t>Metro Logistics</t>
        </is>
      </c>
      <c r="F56" t="inlineStr">
        <is>
          <t>Logistics</t>
        </is>
      </c>
      <c r="G56" t="inlineStr">
        <is>
          <t>Operations</t>
        </is>
      </c>
      <c r="H56" t="inlineStr">
        <is>
          <t>Delivery service</t>
        </is>
      </c>
      <c r="I56" t="n">
        <v>10</v>
      </c>
      <c r="J56" t="n">
        <v>506.12</v>
      </c>
      <c r="K56" t="n">
        <v>5061.2</v>
      </c>
      <c r="L56" t="inlineStr">
        <is>
          <t>Pending</t>
        </is>
      </c>
      <c r="O56">
        <f>XLOOKUP(D56,'Vendor Mapping'!$A:$A,'Vendor Mapping'!$C:$C,"Not Found")</f>
        <v/>
      </c>
      <c r="P56">
        <f>IF(COUNTIFS($D:$D,D56,$B:$B,B56,$K:$K,K56)&gt;1,"Duplicate","Unique")</f>
        <v/>
      </c>
      <c r="Q56">
        <f>TEXT(B56,"mmm")</f>
        <v/>
      </c>
    </row>
    <row r="57">
      <c r="A57" t="inlineStr">
        <is>
          <t>INV-0056</t>
        </is>
      </c>
      <c r="B57" t="inlineStr">
        <is>
          <t>2025-03-07</t>
        </is>
      </c>
      <c r="C57" t="inlineStr">
        <is>
          <t>2025-03-22</t>
        </is>
      </c>
      <c r="D57" t="inlineStr">
        <is>
          <t>V009</t>
        </is>
      </c>
      <c r="E57" t="inlineStr">
        <is>
          <t>Prime Travel Services</t>
        </is>
      </c>
      <c r="F57" t="inlineStr">
        <is>
          <t>Travel</t>
        </is>
      </c>
      <c r="G57" t="inlineStr">
        <is>
          <t>Operations</t>
        </is>
      </c>
      <c r="H57" t="inlineStr">
        <is>
          <t>Travel expenses</t>
        </is>
      </c>
      <c r="I57" t="n">
        <v>6</v>
      </c>
      <c r="J57" t="n">
        <v>2353.39</v>
      </c>
      <c r="K57" t="n">
        <v>14120.36</v>
      </c>
      <c r="L57" t="inlineStr">
        <is>
          <t>Paid</t>
        </is>
      </c>
      <c r="M57" t="inlineStr">
        <is>
          <t>2025-03-29</t>
        </is>
      </c>
      <c r="N57" t="inlineStr">
        <is>
          <t>UPI</t>
        </is>
      </c>
      <c r="O57">
        <f>XLOOKUP(D57,'Vendor Mapping'!$A:$A,'Vendor Mapping'!$C:$C,"Not Found")</f>
        <v/>
      </c>
      <c r="P57">
        <f>IF(COUNTIFS($D:$D,D57,$B:$B,B57,$K:$K,K57)&gt;1,"Duplicate","Unique")</f>
        <v/>
      </c>
      <c r="Q57">
        <f>TEXT(B57,"mmm")</f>
        <v/>
      </c>
    </row>
    <row r="58">
      <c r="A58" t="inlineStr">
        <is>
          <t>INV-0057</t>
        </is>
      </c>
      <c r="B58" t="inlineStr">
        <is>
          <t>2025-01-01</t>
        </is>
      </c>
      <c r="C58" t="inlineStr">
        <is>
          <t>2025-01-31</t>
        </is>
      </c>
      <c r="D58" t="inlineStr">
        <is>
          <t>V009</t>
        </is>
      </c>
      <c r="E58" t="inlineStr">
        <is>
          <t>Prime Travel Services</t>
        </is>
      </c>
      <c r="F58" t="inlineStr">
        <is>
          <t>Travel</t>
        </is>
      </c>
      <c r="G58" t="inlineStr">
        <is>
          <t>Operations</t>
        </is>
      </c>
      <c r="H58" t="inlineStr">
        <is>
          <t>Travel expenses</t>
        </is>
      </c>
      <c r="I58" t="n">
        <v>20</v>
      </c>
      <c r="J58" t="n">
        <v>329.54</v>
      </c>
      <c r="K58" t="n">
        <v>6590.85</v>
      </c>
      <c r="L58" t="inlineStr">
        <is>
          <t>Paid</t>
        </is>
      </c>
      <c r="M58" t="inlineStr">
        <is>
          <t>2025-01-24</t>
        </is>
      </c>
      <c r="N58" t="inlineStr">
        <is>
          <t>UPI</t>
        </is>
      </c>
      <c r="O58">
        <f>XLOOKUP(D58,'Vendor Mapping'!$A:$A,'Vendor Mapping'!$C:$C,"Not Found")</f>
        <v/>
      </c>
      <c r="P58">
        <f>IF(COUNTIFS($D:$D,D58,$B:$B,B58,$K:$K,K58)&gt;1,"Duplicate","Unique")</f>
        <v/>
      </c>
      <c r="Q58">
        <f>TEXT(B58,"mmm")</f>
        <v/>
      </c>
    </row>
    <row r="59">
      <c r="A59" t="inlineStr">
        <is>
          <t>INV-0058</t>
        </is>
      </c>
      <c r="B59" t="inlineStr">
        <is>
          <t>2025-08-15</t>
        </is>
      </c>
      <c r="C59" t="inlineStr">
        <is>
          <t>2025-09-29</t>
        </is>
      </c>
      <c r="D59" t="inlineStr">
        <is>
          <t>V008</t>
        </is>
      </c>
      <c r="E59" t="inlineStr">
        <is>
          <t>CloudWorks Software</t>
        </is>
      </c>
      <c r="F59" t="inlineStr">
        <is>
          <t>Software</t>
        </is>
      </c>
      <c r="G59" t="inlineStr">
        <is>
          <t>IT</t>
        </is>
      </c>
      <c r="H59" t="inlineStr">
        <is>
          <t>Business application</t>
        </is>
      </c>
      <c r="I59" t="n">
        <v>6</v>
      </c>
      <c r="J59" t="n">
        <v>1204.92</v>
      </c>
      <c r="K59" t="n">
        <v>7229.5</v>
      </c>
      <c r="L59" t="inlineStr">
        <is>
          <t>Paid</t>
        </is>
      </c>
      <c r="M59" t="inlineStr">
        <is>
          <t>2025-08-23</t>
        </is>
      </c>
      <c r="N59" t="inlineStr">
        <is>
          <t>Cheque</t>
        </is>
      </c>
      <c r="O59">
        <f>XLOOKUP(D59,'Vendor Mapping'!$A:$A,'Vendor Mapping'!$C:$C,"Not Found")</f>
        <v/>
      </c>
      <c r="P59">
        <f>IF(COUNTIFS($D:$D,D59,$B:$B,B59,$K:$K,K59)&gt;1,"Duplicate","Unique")</f>
        <v/>
      </c>
      <c r="Q59">
        <f>TEXT(B59,"mmm")</f>
        <v/>
      </c>
    </row>
    <row r="60">
      <c r="A60" t="inlineStr">
        <is>
          <t>INV-0059</t>
        </is>
      </c>
      <c r="B60" t="inlineStr">
        <is>
          <t>2025-12-06</t>
        </is>
      </c>
      <c r="C60" t="inlineStr">
        <is>
          <t>2026-01-20</t>
        </is>
      </c>
      <c r="D60" t="inlineStr">
        <is>
          <t>V009</t>
        </is>
      </c>
      <c r="E60" t="inlineStr">
        <is>
          <t>Prime Travel Services</t>
        </is>
      </c>
      <c r="F60" t="inlineStr">
        <is>
          <t>Travel</t>
        </is>
      </c>
      <c r="G60" t="inlineStr">
        <is>
          <t>Operations</t>
        </is>
      </c>
      <c r="H60" t="inlineStr">
        <is>
          <t>Flight booking</t>
        </is>
      </c>
      <c r="I60" t="n">
        <v>10</v>
      </c>
      <c r="J60" t="n">
        <v>162.75</v>
      </c>
      <c r="K60" t="n">
        <v>1627.46</v>
      </c>
      <c r="L60" t="inlineStr">
        <is>
          <t>Pending</t>
        </is>
      </c>
      <c r="O60">
        <f>XLOOKUP(D60,'Vendor Mapping'!$A:$A,'Vendor Mapping'!$C:$C,"Not Found")</f>
        <v/>
      </c>
      <c r="P60">
        <f>IF(COUNTIFS($D:$D,D60,$B:$B,B60,$K:$K,K60)&gt;1,"Duplicate","Unique")</f>
        <v/>
      </c>
      <c r="Q60">
        <f>TEXT(B60,"mmm")</f>
        <v/>
      </c>
    </row>
    <row r="61">
      <c r="A61" t="inlineStr">
        <is>
          <t>INV-0060</t>
        </is>
      </c>
      <c r="B61" t="inlineStr">
        <is>
          <t>2025-04-12</t>
        </is>
      </c>
      <c r="C61" t="inlineStr">
        <is>
          <t>2025-04-27</t>
        </is>
      </c>
      <c r="D61" t="inlineStr">
        <is>
          <t>V004</t>
        </is>
      </c>
      <c r="E61" t="inlineStr">
        <is>
          <t>Bright Marketing Co</t>
        </is>
      </c>
      <c r="F61" t="inlineStr">
        <is>
          <t>Marketing</t>
        </is>
      </c>
      <c r="G61" t="inlineStr">
        <is>
          <t>Marketing</t>
        </is>
      </c>
      <c r="H61" t="inlineStr">
        <is>
          <t>Printing and promotion</t>
        </is>
      </c>
      <c r="I61" t="n">
        <v>20</v>
      </c>
      <c r="J61" t="n">
        <v>193.07</v>
      </c>
      <c r="K61" t="n">
        <v>3861.43</v>
      </c>
      <c r="L61" t="inlineStr">
        <is>
          <t>Paid</t>
        </is>
      </c>
      <c r="M61" t="inlineStr">
        <is>
          <t>2025-04-19</t>
        </is>
      </c>
      <c r="N61" t="inlineStr">
        <is>
          <t>UPI</t>
        </is>
      </c>
      <c r="O61">
        <f>XLOOKUP(D61,'Vendor Mapping'!$A:$A,'Vendor Mapping'!$C:$C,"Not Found")</f>
        <v/>
      </c>
      <c r="P61">
        <f>IF(COUNTIFS($D:$D,D61,$B:$B,B61,$K:$K,K61)&gt;1,"Duplicate","Unique")</f>
        <v/>
      </c>
      <c r="Q61">
        <f>TEXT(B61,"mmm")</f>
        <v/>
      </c>
    </row>
    <row r="62">
      <c r="A62" t="inlineStr">
        <is>
          <t>INV-0061</t>
        </is>
      </c>
      <c r="B62" t="inlineStr">
        <is>
          <t>2025-11-19</t>
        </is>
      </c>
      <c r="C62" t="inlineStr">
        <is>
          <t>2026-01-03</t>
        </is>
      </c>
      <c r="D62" t="inlineStr">
        <is>
          <t>V007</t>
        </is>
      </c>
      <c r="E62" t="inlineStr">
        <is>
          <t>SafeGuard Security</t>
        </is>
      </c>
      <c r="F62" t="inlineStr">
        <is>
          <t>Facilities</t>
        </is>
      </c>
      <c r="G62" t="inlineStr">
        <is>
          <t>Facilities</t>
        </is>
      </c>
      <c r="H62" t="inlineStr">
        <is>
          <t>Maintenance</t>
        </is>
      </c>
      <c r="I62" t="n">
        <v>13</v>
      </c>
      <c r="J62" t="n">
        <v>809.33</v>
      </c>
      <c r="K62" t="n">
        <v>10521.23</v>
      </c>
      <c r="L62" t="inlineStr">
        <is>
          <t>Paid</t>
        </is>
      </c>
      <c r="M62" t="inlineStr">
        <is>
          <t>2025-12-07</t>
        </is>
      </c>
      <c r="N62" t="inlineStr">
        <is>
          <t>Credit Card</t>
        </is>
      </c>
      <c r="O62">
        <f>XLOOKUP(D62,'Vendor Mapping'!$A:$A,'Vendor Mapping'!$C:$C,"Not Found")</f>
        <v/>
      </c>
      <c r="P62">
        <f>IF(COUNTIFS($D:$D,D62,$B:$B,B62,$K:$K,K62)&gt;1,"Duplicate","Unique")</f>
        <v/>
      </c>
      <c r="Q62">
        <f>TEXT(B62,"mmm")</f>
        <v/>
      </c>
    </row>
    <row r="63">
      <c r="A63" t="inlineStr">
        <is>
          <t>INV-0062</t>
        </is>
      </c>
      <c r="B63" t="inlineStr">
        <is>
          <t>2025-02-24</t>
        </is>
      </c>
      <c r="C63" t="inlineStr">
        <is>
          <t>2025-03-26</t>
        </is>
      </c>
      <c r="D63" t="inlineStr">
        <is>
          <t>V001</t>
        </is>
      </c>
      <c r="E63" t="inlineStr">
        <is>
          <t>ABC Office Supplies</t>
        </is>
      </c>
      <c r="F63" t="inlineStr">
        <is>
          <t>Office Supplies</t>
        </is>
      </c>
      <c r="G63" t="inlineStr">
        <is>
          <t>Administration</t>
        </is>
      </c>
      <c r="H63" t="inlineStr">
        <is>
          <t>Printer cartridges</t>
        </is>
      </c>
      <c r="I63" t="n">
        <v>17</v>
      </c>
      <c r="J63" t="n">
        <v>712.39</v>
      </c>
      <c r="K63" t="n">
        <v>12110.62</v>
      </c>
      <c r="L63" t="inlineStr">
        <is>
          <t>Paid</t>
        </is>
      </c>
      <c r="M63" t="inlineStr">
        <is>
          <t>2025-03-28</t>
        </is>
      </c>
      <c r="N63" t="inlineStr">
        <is>
          <t>Bank Transfer</t>
        </is>
      </c>
      <c r="O63">
        <f>XLOOKUP(D63,'Vendor Mapping'!$A:$A,'Vendor Mapping'!$C:$C,"Not Found")</f>
        <v/>
      </c>
      <c r="P63">
        <f>IF(COUNTIFS($D:$D,D63,$B:$B,B63,$K:$K,K63)&gt;1,"Duplicate","Unique")</f>
        <v/>
      </c>
      <c r="Q63">
        <f>TEXT(B63,"mmm")</f>
        <v/>
      </c>
    </row>
    <row r="64">
      <c r="A64" t="inlineStr">
        <is>
          <t>INV-0063</t>
        </is>
      </c>
      <c r="B64" t="inlineStr">
        <is>
          <t>2025-05-08</t>
        </is>
      </c>
      <c r="C64" t="inlineStr">
        <is>
          <t>2025-05-23</t>
        </is>
      </c>
      <c r="D64" t="inlineStr">
        <is>
          <t>V009</t>
        </is>
      </c>
      <c r="E64" t="inlineStr">
        <is>
          <t>Prime Travel Services</t>
        </is>
      </c>
      <c r="F64" t="inlineStr">
        <is>
          <t>Travel</t>
        </is>
      </c>
      <c r="G64" t="inlineStr">
        <is>
          <t>Operations</t>
        </is>
      </c>
      <c r="H64" t="inlineStr">
        <is>
          <t>Travel expenses</t>
        </is>
      </c>
      <c r="I64" t="n">
        <v>17</v>
      </c>
      <c r="J64" t="n">
        <v>710.05</v>
      </c>
      <c r="K64" t="n">
        <v>12070.89</v>
      </c>
      <c r="L64" t="inlineStr">
        <is>
          <t>Paid</t>
        </is>
      </c>
      <c r="M64" t="inlineStr">
        <is>
          <t>2025-05-31</t>
        </is>
      </c>
      <c r="N64" t="inlineStr">
        <is>
          <t>UPI</t>
        </is>
      </c>
      <c r="O64">
        <f>XLOOKUP(D64,'Vendor Mapping'!$A:$A,'Vendor Mapping'!$C:$C,"Not Found")</f>
        <v/>
      </c>
      <c r="P64">
        <f>IF(COUNTIFS($D:$D,D64,$B:$B,B64,$K:$K,K64)&gt;1,"Duplicate","Unique")</f>
        <v/>
      </c>
      <c r="Q64">
        <f>TEXT(B64,"mmm")</f>
        <v/>
      </c>
    </row>
    <row r="65">
      <c r="A65" t="inlineStr">
        <is>
          <t>INV-0064</t>
        </is>
      </c>
      <c r="B65" t="inlineStr">
        <is>
          <t>2025-09-16</t>
        </is>
      </c>
      <c r="C65" t="inlineStr">
        <is>
          <t>2025-10-16</t>
        </is>
      </c>
      <c r="D65" t="inlineStr">
        <is>
          <t>V010</t>
        </is>
      </c>
      <c r="E65" t="inlineStr">
        <is>
          <t>FreshBite Catering</t>
        </is>
      </c>
      <c r="F65" t="inlineStr">
        <is>
          <t>Office Supplies</t>
        </is>
      </c>
      <c r="G65" t="inlineStr">
        <is>
          <t>Administration</t>
        </is>
      </c>
      <c r="H65" t="inlineStr">
        <is>
          <t>Printer paper</t>
        </is>
      </c>
      <c r="I65" t="n">
        <v>16</v>
      </c>
      <c r="J65" t="n">
        <v>520.6900000000001</v>
      </c>
      <c r="K65" t="n">
        <v>8331.110000000001</v>
      </c>
      <c r="L65" t="inlineStr">
        <is>
          <t>Pending</t>
        </is>
      </c>
      <c r="O65">
        <f>XLOOKUP(D65,'Vendor Mapping'!$A:$A,'Vendor Mapping'!$C:$C,"Not Found")</f>
        <v/>
      </c>
      <c r="P65">
        <f>IF(COUNTIFS($D:$D,D65,$B:$B,B65,$K:$K,K65)&gt;1,"Duplicate","Unique")</f>
        <v/>
      </c>
      <c r="Q65">
        <f>TEXT(B65,"mmm")</f>
        <v/>
      </c>
    </row>
    <row r="66">
      <c r="A66" t="inlineStr">
        <is>
          <t>INV-0065</t>
        </is>
      </c>
      <c r="B66" t="inlineStr">
        <is>
          <t>2025-05-13</t>
        </is>
      </c>
      <c r="C66" t="inlineStr">
        <is>
          <t>2025-05-28</t>
        </is>
      </c>
      <c r="D66" t="inlineStr">
        <is>
          <t>V008</t>
        </is>
      </c>
      <c r="E66" t="inlineStr">
        <is>
          <t>CloudWorks Software</t>
        </is>
      </c>
      <c r="F66" t="inlineStr">
        <is>
          <t>Software</t>
        </is>
      </c>
      <c r="G66" t="inlineStr">
        <is>
          <t>IT</t>
        </is>
      </c>
      <c r="H66" t="inlineStr">
        <is>
          <t>Business application</t>
        </is>
      </c>
      <c r="I66" t="n">
        <v>16</v>
      </c>
      <c r="J66" t="n">
        <v>271.27</v>
      </c>
      <c r="K66" t="n">
        <v>4340.34</v>
      </c>
      <c r="L66" t="inlineStr">
        <is>
          <t>Pending</t>
        </is>
      </c>
      <c r="O66">
        <f>XLOOKUP(D66,'Vendor Mapping'!$A:$A,'Vendor Mapping'!$C:$C,"Not Found")</f>
        <v/>
      </c>
      <c r="P66">
        <f>IF(COUNTIFS($D:$D,D66,$B:$B,B66,$K:$K,K66)&gt;1,"Duplicate","Unique")</f>
        <v/>
      </c>
      <c r="Q66">
        <f>TEXT(B66,"mmm")</f>
        <v/>
      </c>
    </row>
    <row r="67">
      <c r="A67" t="inlineStr">
        <is>
          <t>INV-0066</t>
        </is>
      </c>
      <c r="B67" t="inlineStr">
        <is>
          <t>2025-05-21</t>
        </is>
      </c>
      <c r="C67" t="inlineStr">
        <is>
          <t>2025-06-20</t>
        </is>
      </c>
      <c r="D67" t="inlineStr">
        <is>
          <t>V004</t>
        </is>
      </c>
      <c r="E67" t="inlineStr">
        <is>
          <t>Bright Marketing Co</t>
        </is>
      </c>
      <c r="F67" t="inlineStr">
        <is>
          <t>Marketing</t>
        </is>
      </c>
      <c r="G67" t="inlineStr">
        <is>
          <t>Marketing</t>
        </is>
      </c>
      <c r="H67" t="inlineStr">
        <is>
          <t>Printing and promotion</t>
        </is>
      </c>
      <c r="I67" t="n">
        <v>11</v>
      </c>
      <c r="J67" t="n">
        <v>405.86</v>
      </c>
      <c r="K67" t="n">
        <v>4464.49</v>
      </c>
      <c r="L67" t="inlineStr">
        <is>
          <t>Paid</t>
        </is>
      </c>
      <c r="M67" t="inlineStr">
        <is>
          <t>2025-06-13</t>
        </is>
      </c>
      <c r="N67" t="inlineStr">
        <is>
          <t>Bank Transfer</t>
        </is>
      </c>
      <c r="O67">
        <f>XLOOKUP(D67,'Vendor Mapping'!$A:$A,'Vendor Mapping'!$C:$C,"Not Found")</f>
        <v/>
      </c>
      <c r="P67">
        <f>IF(COUNTIFS($D:$D,D67,$B:$B,B67,$K:$K,K67)&gt;1,"Duplicate","Unique")</f>
        <v/>
      </c>
      <c r="Q67">
        <f>TEXT(B67,"mmm")</f>
        <v/>
      </c>
    </row>
    <row r="68">
      <c r="A68" t="inlineStr">
        <is>
          <t>INV-0067</t>
        </is>
      </c>
      <c r="B68" t="inlineStr">
        <is>
          <t>2025-03-19</t>
        </is>
      </c>
      <c r="C68" t="inlineStr">
        <is>
          <t>2025-04-03</t>
        </is>
      </c>
      <c r="D68" t="inlineStr">
        <is>
          <t>V003</t>
        </is>
      </c>
      <c r="E68" t="inlineStr">
        <is>
          <t>CleanPro Services</t>
        </is>
      </c>
      <c r="F68" t="inlineStr">
        <is>
          <t>Facilities</t>
        </is>
      </c>
      <c r="G68" t="inlineStr">
        <is>
          <t>Facilities</t>
        </is>
      </c>
      <c r="H68" t="inlineStr">
        <is>
          <t>Cleaning service</t>
        </is>
      </c>
      <c r="I68" t="n">
        <v>3</v>
      </c>
      <c r="J68" t="n">
        <v>834.63</v>
      </c>
      <c r="K68" t="n">
        <v>2503.88</v>
      </c>
      <c r="L68" t="inlineStr">
        <is>
          <t>Paid</t>
        </is>
      </c>
      <c r="M68" t="inlineStr">
        <is>
          <t>2025-04-17</t>
        </is>
      </c>
      <c r="N68" t="inlineStr">
        <is>
          <t>UPI</t>
        </is>
      </c>
      <c r="O68">
        <f>XLOOKUP(D68,'Vendor Mapping'!$A:$A,'Vendor Mapping'!$C:$C,"Not Found")</f>
        <v/>
      </c>
      <c r="P68">
        <f>IF(COUNTIFS($D:$D,D68,$B:$B,B68,$K:$K,K68)&gt;1,"Duplicate","Unique")</f>
        <v/>
      </c>
      <c r="Q68">
        <f>TEXT(B68,"mmm")</f>
        <v/>
      </c>
    </row>
    <row r="69">
      <c r="A69" t="inlineStr">
        <is>
          <t>INV-0068</t>
        </is>
      </c>
      <c r="B69" t="inlineStr">
        <is>
          <t>2025-10-05</t>
        </is>
      </c>
      <c r="C69" t="inlineStr">
        <is>
          <t>2025-11-04</t>
        </is>
      </c>
      <c r="D69" t="inlineStr">
        <is>
          <t>V006</t>
        </is>
      </c>
      <c r="E69" t="inlineStr">
        <is>
          <t>PeopleFirst HR Services</t>
        </is>
      </c>
      <c r="F69" t="inlineStr">
        <is>
          <t>HR Services</t>
        </is>
      </c>
      <c r="G69" t="inlineStr">
        <is>
          <t>HR</t>
        </is>
      </c>
      <c r="H69" t="inlineStr">
        <is>
          <t>Training service</t>
        </is>
      </c>
      <c r="I69" t="n">
        <v>13</v>
      </c>
      <c r="J69" t="n">
        <v>253.91</v>
      </c>
      <c r="K69" t="n">
        <v>3300.81</v>
      </c>
      <c r="L69" t="inlineStr">
        <is>
          <t>Paid</t>
        </is>
      </c>
      <c r="M69" t="inlineStr">
        <is>
          <t>2025-10-09</t>
        </is>
      </c>
      <c r="N69" t="inlineStr">
        <is>
          <t>UPI</t>
        </is>
      </c>
      <c r="O69">
        <f>XLOOKUP(D69,'Vendor Mapping'!$A:$A,'Vendor Mapping'!$C:$C,"Not Found")</f>
        <v/>
      </c>
      <c r="P69">
        <f>IF(COUNTIFS($D:$D,D69,$B:$B,B69,$K:$K,K69)&gt;1,"Duplicate","Unique")</f>
        <v/>
      </c>
      <c r="Q69">
        <f>TEXT(B69,"mmm")</f>
        <v/>
      </c>
    </row>
    <row r="70">
      <c r="A70" t="inlineStr">
        <is>
          <t>INV-0069</t>
        </is>
      </c>
      <c r="B70" t="inlineStr">
        <is>
          <t>2025-01-04</t>
        </is>
      </c>
      <c r="C70" t="inlineStr">
        <is>
          <t>2025-02-03</t>
        </is>
      </c>
      <c r="D70" t="inlineStr">
        <is>
          <t>V008</t>
        </is>
      </c>
      <c r="E70" t="inlineStr">
        <is>
          <t>CloudWorks Software</t>
        </is>
      </c>
      <c r="F70" t="inlineStr">
        <is>
          <t>Software</t>
        </is>
      </c>
      <c r="G70" t="inlineStr">
        <is>
          <t>IT</t>
        </is>
      </c>
      <c r="H70" t="inlineStr">
        <is>
          <t>Cloud storage</t>
        </is>
      </c>
      <c r="I70" t="n">
        <v>18</v>
      </c>
      <c r="J70" t="n">
        <v>333.46</v>
      </c>
      <c r="K70" t="n">
        <v>6002.3</v>
      </c>
      <c r="L70" t="inlineStr">
        <is>
          <t>Paid</t>
        </is>
      </c>
      <c r="M70" t="inlineStr">
        <is>
          <t>2025-01-21</t>
        </is>
      </c>
      <c r="N70" t="inlineStr">
        <is>
          <t>UPI</t>
        </is>
      </c>
      <c r="O70">
        <f>XLOOKUP(D70,'Vendor Mapping'!$A:$A,'Vendor Mapping'!$C:$C,"Not Found")</f>
        <v/>
      </c>
      <c r="P70">
        <f>IF(COUNTIFS($D:$D,D70,$B:$B,B70,$K:$K,K70)&gt;1,"Duplicate","Unique")</f>
        <v/>
      </c>
      <c r="Q70">
        <f>TEXT(B70,"mmm")</f>
        <v/>
      </c>
    </row>
    <row r="71">
      <c r="A71" t="inlineStr">
        <is>
          <t>INV-0070</t>
        </is>
      </c>
      <c r="B71" t="inlineStr">
        <is>
          <t>2025-05-20</t>
        </is>
      </c>
      <c r="C71" t="inlineStr">
        <is>
          <t>2025-06-19</t>
        </is>
      </c>
      <c r="D71" t="inlineStr">
        <is>
          <t>V004</t>
        </is>
      </c>
      <c r="E71" t="inlineStr">
        <is>
          <t>Bright Marketing Co</t>
        </is>
      </c>
      <c r="F71" t="inlineStr">
        <is>
          <t>Marketing</t>
        </is>
      </c>
      <c r="G71" t="inlineStr">
        <is>
          <t>Marketing</t>
        </is>
      </c>
      <c r="H71" t="inlineStr">
        <is>
          <t>Marketing services</t>
        </is>
      </c>
      <c r="I71" t="n">
        <v>13</v>
      </c>
      <c r="J71" t="n">
        <v>460.43</v>
      </c>
      <c r="K71" t="n">
        <v>5985.64</v>
      </c>
      <c r="L71" t="inlineStr">
        <is>
          <t>Paid</t>
        </is>
      </c>
      <c r="M71" t="inlineStr">
        <is>
          <t>2025-06-02</t>
        </is>
      </c>
      <c r="N71" t="inlineStr">
        <is>
          <t>UPI</t>
        </is>
      </c>
      <c r="O71">
        <f>XLOOKUP(D71,'Vendor Mapping'!$A:$A,'Vendor Mapping'!$C:$C,"Not Found")</f>
        <v/>
      </c>
      <c r="P71">
        <f>IF(COUNTIFS($D:$D,D71,$B:$B,B71,$K:$K,K71)&gt;1,"Duplicate","Unique")</f>
        <v/>
      </c>
      <c r="Q71">
        <f>TEXT(B71,"mmm")</f>
        <v/>
      </c>
    </row>
    <row r="72">
      <c r="A72" t="inlineStr">
        <is>
          <t>INV-0071</t>
        </is>
      </c>
      <c r="B72" t="inlineStr">
        <is>
          <t>2025-11-15</t>
        </is>
      </c>
      <c r="C72" t="inlineStr">
        <is>
          <t>2025-12-30</t>
        </is>
      </c>
      <c r="D72" t="inlineStr">
        <is>
          <t>V003</t>
        </is>
      </c>
      <c r="E72" t="inlineStr">
        <is>
          <t>CleanPro Services</t>
        </is>
      </c>
      <c r="F72" t="inlineStr">
        <is>
          <t>Facilities</t>
        </is>
      </c>
      <c r="G72" t="inlineStr">
        <is>
          <t>Facilities</t>
        </is>
      </c>
      <c r="H72" t="inlineStr">
        <is>
          <t>Security service</t>
        </is>
      </c>
      <c r="I72" t="n">
        <v>1</v>
      </c>
      <c r="J72" t="n">
        <v>6061.8</v>
      </c>
      <c r="K72" t="n">
        <v>6061.8</v>
      </c>
      <c r="L72" t="inlineStr">
        <is>
          <t>Paid</t>
        </is>
      </c>
      <c r="M72" t="inlineStr">
        <is>
          <t>2025-11-23</t>
        </is>
      </c>
      <c r="N72" t="inlineStr">
        <is>
          <t>UPI</t>
        </is>
      </c>
      <c r="O72">
        <f>XLOOKUP(D72,'Vendor Mapping'!$A:$A,'Vendor Mapping'!$C:$C,"Not Found")</f>
        <v/>
      </c>
      <c r="P72">
        <f>IF(COUNTIFS($D:$D,D72,$B:$B,B72,$K:$K,K72)&gt;1,"Duplicate","Unique")</f>
        <v/>
      </c>
      <c r="Q72">
        <f>TEXT(B72,"mmm")</f>
        <v/>
      </c>
    </row>
    <row r="73">
      <c r="A73" t="inlineStr">
        <is>
          <t>INV-0072</t>
        </is>
      </c>
      <c r="B73" t="inlineStr">
        <is>
          <t>2025-08-25</t>
        </is>
      </c>
      <c r="C73" t="inlineStr">
        <is>
          <t>2025-09-09</t>
        </is>
      </c>
      <c r="D73" t="inlineStr">
        <is>
          <t>V003</t>
        </is>
      </c>
      <c r="E73" t="inlineStr">
        <is>
          <t>CleanPro Services</t>
        </is>
      </c>
      <c r="F73" t="inlineStr">
        <is>
          <t>Facilities</t>
        </is>
      </c>
      <c r="G73" t="inlineStr">
        <is>
          <t>Facilities</t>
        </is>
      </c>
      <c r="H73" t="inlineStr">
        <is>
          <t>Cleaning service</t>
        </is>
      </c>
      <c r="I73" t="n">
        <v>15</v>
      </c>
      <c r="J73" t="n">
        <v>389.45</v>
      </c>
      <c r="K73" t="n">
        <v>5841.78</v>
      </c>
      <c r="L73" t="inlineStr">
        <is>
          <t>Paid</t>
        </is>
      </c>
      <c r="M73" t="inlineStr">
        <is>
          <t>2025-09-17</t>
        </is>
      </c>
      <c r="N73" t="inlineStr">
        <is>
          <t>Cheque</t>
        </is>
      </c>
      <c r="O73">
        <f>XLOOKUP(D73,'Vendor Mapping'!$A:$A,'Vendor Mapping'!$C:$C,"Not Found")</f>
        <v/>
      </c>
      <c r="P73">
        <f>IF(COUNTIFS($D:$D,D73,$B:$B,B73,$K:$K,K73)&gt;1,"Duplicate","Unique")</f>
        <v/>
      </c>
      <c r="Q73">
        <f>TEXT(B73,"mmm")</f>
        <v/>
      </c>
    </row>
    <row r="74">
      <c r="A74" t="inlineStr">
        <is>
          <t>INV-0073</t>
        </is>
      </c>
      <c r="B74" t="inlineStr">
        <is>
          <t>2025-05-23</t>
        </is>
      </c>
      <c r="C74" t="inlineStr">
        <is>
          <t>2025-06-22</t>
        </is>
      </c>
      <c r="D74" t="inlineStr">
        <is>
          <t>V007</t>
        </is>
      </c>
      <c r="E74" t="inlineStr">
        <is>
          <t>SafeGuard Security</t>
        </is>
      </c>
      <c r="F74" t="inlineStr">
        <is>
          <t>Facilities</t>
        </is>
      </c>
      <c r="G74" t="inlineStr">
        <is>
          <t>Facilities</t>
        </is>
      </c>
      <c r="H74" t="inlineStr">
        <is>
          <t>Cleaning service</t>
        </is>
      </c>
      <c r="I74" t="n">
        <v>18</v>
      </c>
      <c r="J74" t="n">
        <v>81.01000000000001</v>
      </c>
      <c r="K74" t="n">
        <v>1458.12</v>
      </c>
      <c r="L74" t="inlineStr">
        <is>
          <t>Paid</t>
        </is>
      </c>
      <c r="M74" t="inlineStr">
        <is>
          <t>2025-05-29</t>
        </is>
      </c>
      <c r="N74" t="inlineStr">
        <is>
          <t>Cheque</t>
        </is>
      </c>
      <c r="O74">
        <f>XLOOKUP(D74,'Vendor Mapping'!$A:$A,'Vendor Mapping'!$C:$C,"Not Found")</f>
        <v/>
      </c>
      <c r="P74">
        <f>IF(COUNTIFS($D:$D,D74,$B:$B,B74,$K:$K,K74)&gt;1,"Duplicate","Unique")</f>
        <v/>
      </c>
      <c r="Q74">
        <f>TEXT(B74,"mmm")</f>
        <v/>
      </c>
    </row>
    <row r="75">
      <c r="A75" t="inlineStr">
        <is>
          <t>INV-0074</t>
        </is>
      </c>
      <c r="B75" t="inlineStr">
        <is>
          <t>2025-11-29</t>
        </is>
      </c>
      <c r="C75" t="inlineStr">
        <is>
          <t>2025-12-14</t>
        </is>
      </c>
      <c r="D75" t="inlineStr">
        <is>
          <t>V004</t>
        </is>
      </c>
      <c r="E75" t="inlineStr">
        <is>
          <t>Bright Marketing Co</t>
        </is>
      </c>
      <c r="F75" t="inlineStr">
        <is>
          <t>Marketing</t>
        </is>
      </c>
      <c r="G75" t="inlineStr">
        <is>
          <t>Marketing</t>
        </is>
      </c>
      <c r="H75" t="inlineStr">
        <is>
          <t>Digital advertising</t>
        </is>
      </c>
      <c r="I75" t="n">
        <v>8</v>
      </c>
      <c r="J75" t="n">
        <v>1232.92</v>
      </c>
      <c r="K75" t="n">
        <v>9863.379999999999</v>
      </c>
      <c r="L75" t="inlineStr">
        <is>
          <t>Pending</t>
        </is>
      </c>
      <c r="O75">
        <f>XLOOKUP(D75,'Vendor Mapping'!$A:$A,'Vendor Mapping'!$C:$C,"Not Found")</f>
        <v/>
      </c>
      <c r="P75">
        <f>IF(COUNTIFS($D:$D,D75,$B:$B,B75,$K:$K,K75)&gt;1,"Duplicate","Unique")</f>
        <v/>
      </c>
      <c r="Q75">
        <f>TEXT(B75,"mmm")</f>
        <v/>
      </c>
    </row>
    <row r="76">
      <c r="A76" t="inlineStr">
        <is>
          <t>INV-0075</t>
        </is>
      </c>
      <c r="B76" t="inlineStr">
        <is>
          <t>2025-01-11</t>
        </is>
      </c>
      <c r="C76" t="inlineStr">
        <is>
          <t>2025-02-25</t>
        </is>
      </c>
      <c r="D76" t="inlineStr">
        <is>
          <t>V004</t>
        </is>
      </c>
      <c r="E76" t="inlineStr">
        <is>
          <t>Bright Marketing Co</t>
        </is>
      </c>
      <c r="F76" t="inlineStr">
        <is>
          <t>Marketing</t>
        </is>
      </c>
      <c r="G76" t="inlineStr">
        <is>
          <t>Marketing</t>
        </is>
      </c>
      <c r="H76" t="inlineStr">
        <is>
          <t>Marketing services</t>
        </is>
      </c>
      <c r="I76" t="n">
        <v>4</v>
      </c>
      <c r="J76" t="n">
        <v>527.9400000000001</v>
      </c>
      <c r="K76" t="n">
        <v>2111.76</v>
      </c>
      <c r="L76" t="inlineStr">
        <is>
          <t>Paid</t>
        </is>
      </c>
      <c r="M76" t="inlineStr">
        <is>
          <t>2025-01-27</t>
        </is>
      </c>
      <c r="N76" t="inlineStr">
        <is>
          <t>UPI</t>
        </is>
      </c>
      <c r="O76">
        <f>XLOOKUP(D76,'Vendor Mapping'!$A:$A,'Vendor Mapping'!$C:$C,"Not Found")</f>
        <v/>
      </c>
      <c r="P76">
        <f>IF(COUNTIFS($D:$D,D76,$B:$B,B76,$K:$K,K76)&gt;1,"Duplicate","Unique")</f>
        <v/>
      </c>
      <c r="Q76">
        <f>TEXT(B76,"mmm")</f>
        <v/>
      </c>
    </row>
    <row r="77">
      <c r="A77" t="inlineStr">
        <is>
          <t>INV-0076</t>
        </is>
      </c>
      <c r="B77" t="inlineStr">
        <is>
          <t>2025-07-08</t>
        </is>
      </c>
      <c r="C77" t="inlineStr">
        <is>
          <t>2025-07-23</t>
        </is>
      </c>
      <c r="D77" t="inlineStr">
        <is>
          <t>V005</t>
        </is>
      </c>
      <c r="E77" t="inlineStr">
        <is>
          <t>Metro Logistics</t>
        </is>
      </c>
      <c r="F77" t="inlineStr">
        <is>
          <t>Logistics</t>
        </is>
      </c>
      <c r="G77" t="inlineStr">
        <is>
          <t>Operations</t>
        </is>
      </c>
      <c r="H77" t="inlineStr">
        <is>
          <t>Delivery service</t>
        </is>
      </c>
      <c r="I77" t="n">
        <v>4</v>
      </c>
      <c r="J77" t="n">
        <v>3616.27</v>
      </c>
      <c r="K77" t="n">
        <v>14465.09</v>
      </c>
      <c r="L77" t="inlineStr">
        <is>
          <t>Pending</t>
        </is>
      </c>
      <c r="O77">
        <f>XLOOKUP(D77,'Vendor Mapping'!$A:$A,'Vendor Mapping'!$C:$C,"Not Found")</f>
        <v/>
      </c>
      <c r="P77">
        <f>IF(COUNTIFS($D:$D,D77,$B:$B,B77,$K:$K,K77)&gt;1,"Duplicate","Unique")</f>
        <v/>
      </c>
      <c r="Q77">
        <f>TEXT(B77,"mmm")</f>
        <v/>
      </c>
    </row>
    <row r="78">
      <c r="A78" t="inlineStr">
        <is>
          <t>INV-0077</t>
        </is>
      </c>
      <c r="B78" t="inlineStr">
        <is>
          <t>2025-06-09</t>
        </is>
      </c>
      <c r="C78" t="inlineStr">
        <is>
          <t>2025-06-24</t>
        </is>
      </c>
      <c r="D78" t="inlineStr">
        <is>
          <t>V003</t>
        </is>
      </c>
      <c r="E78" t="inlineStr">
        <is>
          <t>CleanPro Services</t>
        </is>
      </c>
      <c r="F78" t="inlineStr">
        <is>
          <t>Facilities</t>
        </is>
      </c>
      <c r="G78" t="inlineStr">
        <is>
          <t>Facilities</t>
        </is>
      </c>
      <c r="H78" t="inlineStr">
        <is>
          <t>Security service</t>
        </is>
      </c>
      <c r="I78" t="n">
        <v>13</v>
      </c>
      <c r="J78" t="n">
        <v>1073.16</v>
      </c>
      <c r="K78" t="n">
        <v>13951.09</v>
      </c>
      <c r="L78" t="inlineStr">
        <is>
          <t>Paid</t>
        </is>
      </c>
      <c r="M78" t="inlineStr">
        <is>
          <t>2025-07-07</t>
        </is>
      </c>
      <c r="N78" t="inlineStr">
        <is>
          <t>Credit Card</t>
        </is>
      </c>
      <c r="O78">
        <f>XLOOKUP(D78,'Vendor Mapping'!$A:$A,'Vendor Mapping'!$C:$C,"Not Found")</f>
        <v/>
      </c>
      <c r="P78">
        <f>IF(COUNTIFS($D:$D,D78,$B:$B,B78,$K:$K,K78)&gt;1,"Duplicate","Unique")</f>
        <v/>
      </c>
      <c r="Q78">
        <f>TEXT(B78,"mmm")</f>
        <v/>
      </c>
    </row>
    <row r="79">
      <c r="A79" t="inlineStr">
        <is>
          <t>INV-0078</t>
        </is>
      </c>
      <c r="B79" t="inlineStr">
        <is>
          <t>2025-10-31</t>
        </is>
      </c>
      <c r="C79" t="inlineStr">
        <is>
          <t>2025-12-15</t>
        </is>
      </c>
      <c r="D79" t="inlineStr">
        <is>
          <t>V002</t>
        </is>
      </c>
      <c r="E79" t="inlineStr">
        <is>
          <t>Tech Solutions Ltd</t>
        </is>
      </c>
      <c r="F79" t="inlineStr">
        <is>
          <t>Software</t>
        </is>
      </c>
      <c r="G79" t="inlineStr">
        <is>
          <t>IT</t>
        </is>
      </c>
      <c r="H79" t="inlineStr">
        <is>
          <t>Business application</t>
        </is>
      </c>
      <c r="I79" t="n">
        <v>10</v>
      </c>
      <c r="J79" t="n">
        <v>383.2</v>
      </c>
      <c r="K79" t="n">
        <v>3832.03</v>
      </c>
      <c r="L79" t="inlineStr">
        <is>
          <t>Pending</t>
        </is>
      </c>
      <c r="O79">
        <f>XLOOKUP(D79,'Vendor Mapping'!$A:$A,'Vendor Mapping'!$C:$C,"Not Found")</f>
        <v/>
      </c>
      <c r="P79">
        <f>IF(COUNTIFS($D:$D,D79,$B:$B,B79,$K:$K,K79)&gt;1,"Duplicate","Unique")</f>
        <v/>
      </c>
      <c r="Q79">
        <f>TEXT(B79,"mmm")</f>
        <v/>
      </c>
    </row>
    <row r="80">
      <c r="A80" t="inlineStr">
        <is>
          <t>INV-0079</t>
        </is>
      </c>
      <c r="B80" t="inlineStr">
        <is>
          <t>2025-03-03</t>
        </is>
      </c>
      <c r="C80" t="inlineStr">
        <is>
          <t>2025-04-17</t>
        </is>
      </c>
      <c r="D80" t="inlineStr">
        <is>
          <t>V010</t>
        </is>
      </c>
      <c r="E80" t="inlineStr">
        <is>
          <t>FreshBite Catering</t>
        </is>
      </c>
      <c r="F80" t="inlineStr">
        <is>
          <t>Office Supplies</t>
        </is>
      </c>
      <c r="G80" t="inlineStr">
        <is>
          <t>Administration</t>
        </is>
      </c>
      <c r="H80" t="inlineStr">
        <is>
          <t>Pens and stationery</t>
        </is>
      </c>
      <c r="I80" t="n">
        <v>12</v>
      </c>
      <c r="J80" t="n">
        <v>447.61</v>
      </c>
      <c r="K80" t="n">
        <v>5371.26</v>
      </c>
      <c r="L80" t="inlineStr">
        <is>
          <t>Pending</t>
        </is>
      </c>
      <c r="O80">
        <f>XLOOKUP(D80,'Vendor Mapping'!$A:$A,'Vendor Mapping'!$C:$C,"Not Found")</f>
        <v/>
      </c>
      <c r="P80">
        <f>IF(COUNTIFS($D:$D,D80,$B:$B,B80,$K:$K,K80)&gt;1,"Duplicate","Unique")</f>
        <v/>
      </c>
      <c r="Q80">
        <f>TEXT(B80,"mmm")</f>
        <v/>
      </c>
    </row>
    <row r="81">
      <c r="A81" t="inlineStr">
        <is>
          <t>INV-0080</t>
        </is>
      </c>
      <c r="B81" t="inlineStr">
        <is>
          <t>2025-09-17</t>
        </is>
      </c>
      <c r="C81" t="inlineStr">
        <is>
          <t>2025-11-01</t>
        </is>
      </c>
      <c r="D81" t="inlineStr">
        <is>
          <t>V002</t>
        </is>
      </c>
      <c r="E81" t="inlineStr">
        <is>
          <t>Tech Solutions Ltd</t>
        </is>
      </c>
      <c r="F81" t="inlineStr">
        <is>
          <t>Software</t>
        </is>
      </c>
      <c r="G81" t="inlineStr">
        <is>
          <t>IT</t>
        </is>
      </c>
      <c r="H81" t="inlineStr">
        <is>
          <t>Cloud storage</t>
        </is>
      </c>
      <c r="I81" t="n">
        <v>4</v>
      </c>
      <c r="J81" t="n">
        <v>3195.31</v>
      </c>
      <c r="K81" t="n">
        <v>12781.24</v>
      </c>
      <c r="L81" t="inlineStr">
        <is>
          <t>Paid</t>
        </is>
      </c>
      <c r="M81" t="inlineStr">
        <is>
          <t>2025-10-17</t>
        </is>
      </c>
      <c r="N81" t="inlineStr">
        <is>
          <t>Cheque</t>
        </is>
      </c>
      <c r="O81">
        <f>XLOOKUP(D81,'Vendor Mapping'!$A:$A,'Vendor Mapping'!$C:$C,"Not Found")</f>
        <v/>
      </c>
      <c r="P81">
        <f>IF(COUNTIFS($D:$D,D81,$B:$B,B81,$K:$K,K81)&gt;1,"Duplicate","Unique")</f>
        <v/>
      </c>
      <c r="Q81">
        <f>TEXT(B81,"mmm")</f>
        <v/>
      </c>
    </row>
    <row r="82">
      <c r="A82" t="inlineStr">
        <is>
          <t>INV-0008-DUP</t>
        </is>
      </c>
      <c r="B82" t="inlineStr">
        <is>
          <t>2025-12-10</t>
        </is>
      </c>
      <c r="C82" t="inlineStr">
        <is>
          <t>2026-01-09</t>
        </is>
      </c>
      <c r="D82" t="inlineStr">
        <is>
          <t>V004</t>
        </is>
      </c>
      <c r="E82" t="inlineStr">
        <is>
          <t>Bright Marketing Co</t>
        </is>
      </c>
      <c r="F82" t="inlineStr">
        <is>
          <t>Marketing</t>
        </is>
      </c>
      <c r="G82" t="inlineStr">
        <is>
          <t>Marketing</t>
        </is>
      </c>
      <c r="H82" t="inlineStr">
        <is>
          <t>Digital advertising</t>
        </is>
      </c>
      <c r="I82" t="n">
        <v>20</v>
      </c>
      <c r="J82" t="n">
        <v>516.62</v>
      </c>
      <c r="K82" t="n">
        <v>10332.33</v>
      </c>
      <c r="L82" t="inlineStr">
        <is>
          <t>Pending</t>
        </is>
      </c>
      <c r="O82">
        <f>XLOOKUP(D82,'Vendor Mapping'!$A:$A,'Vendor Mapping'!$C:$C,"Not Found")</f>
        <v/>
      </c>
      <c r="P82">
        <f>IF(COUNTIFS($D:$D,D82,$B:$B,B82,$K:$K,K82)&gt;1,"Duplicate","Unique")</f>
        <v/>
      </c>
      <c r="Q82">
        <f>TEXT(B82,"mmm")</f>
        <v/>
      </c>
    </row>
    <row r="83">
      <c r="A83" t="inlineStr">
        <is>
          <t>INV-0024-DUP</t>
        </is>
      </c>
      <c r="B83" t="inlineStr">
        <is>
          <t>2025-09-21</t>
        </is>
      </c>
      <c r="C83" t="inlineStr">
        <is>
          <t>2025-10-06</t>
        </is>
      </c>
      <c r="D83" t="inlineStr">
        <is>
          <t>V002</t>
        </is>
      </c>
      <c r="E83" t="inlineStr">
        <is>
          <t>Tech Solutions Ltd</t>
        </is>
      </c>
      <c r="F83" t="inlineStr">
        <is>
          <t>Software</t>
        </is>
      </c>
      <c r="G83" t="inlineStr">
        <is>
          <t>IT</t>
        </is>
      </c>
      <c r="H83" t="inlineStr">
        <is>
          <t>Business application</t>
        </is>
      </c>
      <c r="I83" t="n">
        <v>5</v>
      </c>
      <c r="J83" t="n">
        <v>1481.97</v>
      </c>
      <c r="K83" t="n">
        <v>7409.86</v>
      </c>
      <c r="L83" t="inlineStr">
        <is>
          <t>Paid</t>
        </is>
      </c>
      <c r="M83" t="inlineStr">
        <is>
          <t>2025-10-24</t>
        </is>
      </c>
      <c r="N83" t="inlineStr">
        <is>
          <t>Credit Card</t>
        </is>
      </c>
      <c r="O83">
        <f>XLOOKUP(D83,'Vendor Mapping'!$A:$A,'Vendor Mapping'!$C:$C,"Not Found")</f>
        <v/>
      </c>
      <c r="P83">
        <f>IF(COUNTIFS($D:$D,D83,$B:$B,B83,$K:$K,K83)&gt;1,"Duplicate","Unique")</f>
        <v/>
      </c>
      <c r="Q83">
        <f>TEXT(B83,"mmm")</f>
        <v/>
      </c>
    </row>
    <row r="84">
      <c r="A84" t="inlineStr">
        <is>
          <t>INV-0052-DUP</t>
        </is>
      </c>
      <c r="B84" t="inlineStr">
        <is>
          <t>2025-06-26</t>
        </is>
      </c>
      <c r="C84" t="inlineStr">
        <is>
          <t>2025-08-10</t>
        </is>
      </c>
      <c r="D84" t="inlineStr">
        <is>
          <t>V007</t>
        </is>
      </c>
      <c r="E84" t="inlineStr">
        <is>
          <t>SafeGuard Security</t>
        </is>
      </c>
      <c r="F84" t="inlineStr">
        <is>
          <t>Facilities</t>
        </is>
      </c>
      <c r="G84" t="inlineStr">
        <is>
          <t>Facilities</t>
        </is>
      </c>
      <c r="H84" t="inlineStr">
        <is>
          <t>Security service</t>
        </is>
      </c>
      <c r="I84" t="n">
        <v>4</v>
      </c>
      <c r="J84" t="n">
        <v>1671.7</v>
      </c>
      <c r="K84" t="n">
        <v>6686.81</v>
      </c>
      <c r="L84" t="inlineStr">
        <is>
          <t>Pending</t>
        </is>
      </c>
      <c r="O84">
        <f>XLOOKUP(D84,'Vendor Mapping'!$A:$A,'Vendor Mapping'!$C:$C,"Not Found")</f>
        <v/>
      </c>
      <c r="P84">
        <f>IF(COUNTIFS($D:$D,D84,$B:$B,B84,$K:$K,K84)&gt;1,"Duplicate","Unique")</f>
        <v/>
      </c>
      <c r="Q84">
        <f>TEXT(B84,"mmm")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25" customWidth="1" min="7" max="7"/>
    <col width="19" customWidth="1" min="8" max="8"/>
    <col width="14" customWidth="1" min="9" max="9"/>
    <col width="16" customWidth="1" min="10" max="10"/>
    <col width="15" customWidth="1" min="11" max="11"/>
    <col width="20" customWidth="1" min="12" max="12"/>
    <col width="14" customWidth="1" min="13" max="13"/>
    <col width="14" customWidth="1" min="14" max="14"/>
    <col width="20" customWidth="1" min="15" max="15"/>
  </cols>
  <sheetData>
    <row r="1">
      <c r="A1" s="10" t="inlineStr">
        <is>
          <t>Metric</t>
        </is>
      </c>
      <c r="B1" s="10" t="inlineStr">
        <is>
          <t>Value</t>
        </is>
      </c>
      <c r="C1" s="10" t="n"/>
      <c r="D1" s="10" t="inlineStr">
        <is>
          <t>Expense Category</t>
        </is>
      </c>
      <c r="E1" s="10" t="inlineStr">
        <is>
          <t>Total Expense</t>
        </is>
      </c>
      <c r="F1" s="10" t="n"/>
      <c r="G1" s="10" t="inlineStr">
        <is>
          <t>Vendor</t>
        </is>
      </c>
      <c r="H1" s="10" t="inlineStr">
        <is>
          <t>Total Expense</t>
        </is>
      </c>
      <c r="I1" s="10" t="n"/>
      <c r="J1" s="10" t="inlineStr">
        <is>
          <t>Payment Status</t>
        </is>
      </c>
      <c r="K1" s="10" t="inlineStr">
        <is>
          <t>Invoice Count</t>
        </is>
      </c>
      <c r="L1" s="10" t="inlineStr">
        <is>
          <t>Amount</t>
        </is>
      </c>
      <c r="M1" s="10" t="n"/>
      <c r="N1" s="10" t="inlineStr">
        <is>
          <t>Month</t>
        </is>
      </c>
      <c r="O1" s="10" t="inlineStr">
        <is>
          <t>Expense</t>
        </is>
      </c>
    </row>
    <row r="2">
      <c r="A2" t="inlineStr">
        <is>
          <t>Total Expenses</t>
        </is>
      </c>
      <c r="B2" t="n">
        <v>644365.5699999999</v>
      </c>
      <c r="D2" t="inlineStr">
        <is>
          <t>Facilities</t>
        </is>
      </c>
      <c r="E2" t="n">
        <v>161792.97</v>
      </c>
      <c r="G2" t="inlineStr">
        <is>
          <t>Bright Marketing Co</t>
        </is>
      </c>
      <c r="H2" t="n">
        <v>105967.49</v>
      </c>
      <c r="J2" t="inlineStr">
        <is>
          <t>Paid</t>
        </is>
      </c>
      <c r="K2" t="n">
        <v>52</v>
      </c>
      <c r="L2" t="n">
        <v>396411.1299999999</v>
      </c>
      <c r="N2" t="inlineStr">
        <is>
          <t>Jan</t>
        </is>
      </c>
      <c r="O2" t="n">
        <v>73567.51999999999</v>
      </c>
    </row>
    <row r="3">
      <c r="A3" t="inlineStr">
        <is>
          <t>Total Invoices</t>
        </is>
      </c>
      <c r="B3" t="n">
        <v>83</v>
      </c>
      <c r="D3" t="inlineStr">
        <is>
          <t>Software</t>
        </is>
      </c>
      <c r="E3" t="n">
        <v>123547.51</v>
      </c>
      <c r="G3" t="inlineStr">
        <is>
          <t>CleanPro Services</t>
        </is>
      </c>
      <c r="H3" t="n">
        <v>93065.03</v>
      </c>
      <c r="J3" t="inlineStr">
        <is>
          <t>Pending</t>
        </is>
      </c>
      <c r="K3" t="n">
        <v>22</v>
      </c>
      <c r="L3" t="n">
        <v>176934.52</v>
      </c>
      <c r="N3" t="inlineStr">
        <is>
          <t>Feb</t>
        </is>
      </c>
      <c r="O3" t="n">
        <v>78904.35000000001</v>
      </c>
    </row>
    <row r="4">
      <c r="A4" t="inlineStr">
        <is>
          <t>Paid Amount</t>
        </is>
      </c>
      <c r="B4" t="n">
        <v>396411.13</v>
      </c>
      <c r="D4" t="inlineStr">
        <is>
          <t>Marketing</t>
        </is>
      </c>
      <c r="E4" t="n">
        <v>105967.49</v>
      </c>
      <c r="G4" t="inlineStr">
        <is>
          <t>Prime Travel Services</t>
        </is>
      </c>
      <c r="H4" t="n">
        <v>77275.69</v>
      </c>
      <c r="J4" t="inlineStr">
        <is>
          <t>Overdue</t>
        </is>
      </c>
      <c r="K4" t="n">
        <v>9</v>
      </c>
      <c r="L4" t="n">
        <v>71019.92</v>
      </c>
      <c r="N4" t="inlineStr">
        <is>
          <t>Mar</t>
        </is>
      </c>
      <c r="O4" t="n">
        <v>27985.62</v>
      </c>
    </row>
    <row r="5">
      <c r="A5" t="inlineStr">
        <is>
          <t>Pending Amount</t>
        </is>
      </c>
      <c r="B5" t="n">
        <v>176934.52</v>
      </c>
      <c r="D5" t="inlineStr">
        <is>
          <t>Office Supplies</t>
        </is>
      </c>
      <c r="E5" t="n">
        <v>97504.89999999998</v>
      </c>
      <c r="G5" t="inlineStr">
        <is>
          <t>Tech Solutions Ltd</t>
        </is>
      </c>
      <c r="H5" t="n">
        <v>73046.67000000001</v>
      </c>
      <c r="N5" t="inlineStr">
        <is>
          <t>Apr</t>
        </is>
      </c>
      <c r="O5" t="n">
        <v>46768.99</v>
      </c>
    </row>
    <row r="6">
      <c r="A6" t="inlineStr">
        <is>
          <t>Overdue Amount</t>
        </is>
      </c>
      <c r="B6" t="n">
        <v>71019.92</v>
      </c>
      <c r="D6" t="inlineStr">
        <is>
          <t>Travel</t>
        </is>
      </c>
      <c r="E6" t="n">
        <v>77275.69</v>
      </c>
      <c r="G6" t="inlineStr">
        <is>
          <t>SafeGuard Security</t>
        </is>
      </c>
      <c r="H6" t="n">
        <v>68727.94</v>
      </c>
      <c r="N6" t="inlineStr">
        <is>
          <t>May</t>
        </is>
      </c>
      <c r="O6" t="n">
        <v>43716.71</v>
      </c>
    </row>
    <row r="7">
      <c r="A7" t="inlineStr">
        <is>
          <t>Duplicate Invoice Records</t>
        </is>
      </c>
      <c r="B7" t="n">
        <v>3</v>
      </c>
      <c r="D7" t="inlineStr">
        <is>
          <t>Logistics</t>
        </is>
      </c>
      <c r="E7" t="n">
        <v>60766.47</v>
      </c>
      <c r="G7" t="inlineStr">
        <is>
          <t>ABC Office Supplies</t>
        </is>
      </c>
      <c r="H7" t="n">
        <v>66986.93999999999</v>
      </c>
      <c r="N7" t="inlineStr">
        <is>
          <t>Jun</t>
        </is>
      </c>
      <c r="O7" t="n">
        <v>53668.65999999999</v>
      </c>
    </row>
    <row r="8">
      <c r="D8" t="inlineStr">
        <is>
          <t>HR Services</t>
        </is>
      </c>
      <c r="E8" t="n">
        <v>17510.54</v>
      </c>
      <c r="G8" t="inlineStr">
        <is>
          <t>Metro Logistics</t>
        </is>
      </c>
      <c r="H8" t="n">
        <v>60766.47</v>
      </c>
      <c r="N8" t="inlineStr">
        <is>
          <t>Jul</t>
        </is>
      </c>
      <c r="O8" t="n">
        <v>41344.55</v>
      </c>
    </row>
    <row r="9">
      <c r="G9" t="inlineStr">
        <is>
          <t>CloudWorks Software</t>
        </is>
      </c>
      <c r="H9" t="n">
        <v>50500.84</v>
      </c>
      <c r="N9" t="inlineStr">
        <is>
          <t>Aug</t>
        </is>
      </c>
      <c r="O9" t="n">
        <v>49734.49</v>
      </c>
    </row>
    <row r="10">
      <c r="G10" t="inlineStr">
        <is>
          <t>FreshBite Catering</t>
        </is>
      </c>
      <c r="H10" t="n">
        <v>30517.96</v>
      </c>
      <c r="N10" t="inlineStr">
        <is>
          <t>Sep</t>
        </is>
      </c>
      <c r="O10" t="n">
        <v>65379.00999999999</v>
      </c>
    </row>
    <row r="11">
      <c r="G11" t="inlineStr">
        <is>
          <t>PeopleFirst HR Services</t>
        </is>
      </c>
      <c r="H11" t="n">
        <v>17510.54</v>
      </c>
      <c r="N11" t="inlineStr">
        <is>
          <t>Oct</t>
        </is>
      </c>
      <c r="O11" t="n">
        <v>65646.05</v>
      </c>
    </row>
    <row r="12">
      <c r="N12" t="inlineStr">
        <is>
          <t>Nov</t>
        </is>
      </c>
      <c r="O12" t="n">
        <v>35485.76</v>
      </c>
    </row>
    <row r="13">
      <c r="N13" t="inlineStr">
        <is>
          <t>Dec</t>
        </is>
      </c>
      <c r="O13" t="n">
        <v>62163.86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  <col width="22" customWidth="1" min="10" max="10"/>
    <col width="16" customWidth="1" min="11" max="11"/>
    <col width="16" customWidth="1" min="12" max="12"/>
    <col width="22" customWidth="1" min="13" max="13"/>
    <col width="16" customWidth="1" min="14" max="14"/>
  </cols>
  <sheetData>
    <row r="1">
      <c r="A1" s="11" t="inlineStr">
        <is>
          <t>INVOICE &amp; EXPENSE ANALYSIS DASHBOARD</t>
        </is>
      </c>
    </row>
    <row r="2">
      <c r="A2" s="7" t="inlineStr">
        <is>
          <t>Microsoft Excel | 2025 Invoice &amp; Expense Analysis</t>
        </is>
      </c>
    </row>
    <row r="4" ht="22" customHeight="1">
      <c r="A4" s="12" t="inlineStr">
        <is>
          <t>Total Expenses</t>
        </is>
      </c>
      <c r="D4" s="12" t="inlineStr">
        <is>
          <t>Total Invoices</t>
        </is>
      </c>
      <c r="G4" s="12" t="inlineStr">
        <is>
          <t>Paid Amount</t>
        </is>
      </c>
      <c r="J4" s="12" t="inlineStr">
        <is>
          <t>Pending Amount</t>
        </is>
      </c>
      <c r="M4" s="12" t="inlineStr">
        <is>
          <t>Overdue Amount</t>
        </is>
      </c>
    </row>
    <row r="5" ht="28" customHeight="1">
      <c r="A5" s="13" t="n">
        <v>644365.5699999999</v>
      </c>
      <c r="D5" s="14" t="n">
        <v>83</v>
      </c>
      <c r="G5" s="13" t="n">
        <v>396411.13</v>
      </c>
      <c r="J5" s="13" t="n">
        <v>176934.52</v>
      </c>
      <c r="M5" s="13" t="n">
        <v>71019.92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0" t="inlineStr">
        <is>
          <t>Business Insights</t>
        </is>
      </c>
    </row>
    <row r="2">
      <c r="A2" t="inlineStr">
        <is>
          <t>1. Highest-spend category: Facilities (161,792.97).</t>
        </is>
      </c>
    </row>
    <row r="3">
      <c r="A3" t="inlineStr">
        <is>
          <t>2. Highest-spend vendor: Bright Marketing Co (105,967.49).</t>
        </is>
      </c>
    </row>
    <row r="4">
      <c r="A4" t="inlineStr">
        <is>
          <t>3. Paid invoices account for 396,411.13; pending and overdue amounts should be prioritized.</t>
        </is>
      </c>
    </row>
    <row r="5">
      <c r="A5" t="inlineStr">
        <is>
          <t>4. Duplicate-check logic is included in Cleaned Data to flag repeated invoice combinations.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2026-08-30T12:20:14Z</dcterms:created>
  <dcterms:modified xmlns:dcterms="http://purl.org/dc/terms/" xmlns:xsi="http://www.w3.org/2001/XMLSchema-instance" xsi:type="dcterms:W3CDTF">2026-08-30T13:41:10Z</dcterms:modified>
</cp:coreProperties>
</file>